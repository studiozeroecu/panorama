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entas semanales\junio\"/>
    </mc:Choice>
  </mc:AlternateContent>
  <xr:revisionPtr revIDLastSave="0" documentId="8_{67F98285-5626-4EFC-8CC6-EB3BD84F317A}" xr6:coauthVersionLast="47" xr6:coauthVersionMax="47" xr10:uidLastSave="{00000000-0000-0000-0000-000000000000}"/>
  <bookViews>
    <workbookView xWindow="-120" yWindow="-120" windowWidth="29040" windowHeight="15840" xr2:uid="{9123E360-AAD3-40E3-A6C7-E5C0DCB65990}"/>
  </bookViews>
  <sheets>
    <sheet name="resumen" sheetId="1" r:id="rId1"/>
    <sheet name="exixtsnecia por loc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16" i="1" l="1"/>
  <c r="K116" i="1" s="1"/>
  <c r="L116" i="1" s="1"/>
  <c r="I116" i="1"/>
  <c r="J115" i="1"/>
  <c r="K115" i="1" s="1"/>
  <c r="L115" i="1" s="1"/>
  <c r="I115" i="1"/>
  <c r="J114" i="1"/>
  <c r="K114" i="1" s="1"/>
  <c r="L114" i="1" s="1"/>
  <c r="I114" i="1"/>
  <c r="J113" i="1"/>
  <c r="K113" i="1" s="1"/>
  <c r="L113" i="1" s="1"/>
  <c r="I113" i="1"/>
  <c r="J112" i="1"/>
  <c r="K112" i="1" s="1"/>
  <c r="L112" i="1" s="1"/>
  <c r="I112" i="1"/>
  <c r="J111" i="1"/>
  <c r="K111" i="1" s="1"/>
  <c r="L111" i="1" s="1"/>
  <c r="I111" i="1"/>
  <c r="J110" i="1"/>
  <c r="K110" i="1" s="1"/>
  <c r="L110" i="1" s="1"/>
  <c r="I110" i="1"/>
  <c r="J109" i="1"/>
  <c r="K109" i="1" s="1"/>
  <c r="L109" i="1" s="1"/>
  <c r="I109" i="1"/>
  <c r="J108" i="1"/>
  <c r="K108" i="1" s="1"/>
  <c r="L108" i="1" s="1"/>
  <c r="I108" i="1"/>
  <c r="J107" i="1"/>
  <c r="K107" i="1" s="1"/>
  <c r="L107" i="1" s="1"/>
  <c r="I107" i="1"/>
  <c r="J106" i="1"/>
  <c r="K106" i="1" s="1"/>
  <c r="L106" i="1" s="1"/>
  <c r="I106" i="1"/>
  <c r="J105" i="1"/>
  <c r="K105" i="1" s="1"/>
  <c r="L105" i="1" s="1"/>
  <c r="I105" i="1"/>
  <c r="J104" i="1"/>
  <c r="K104" i="1" s="1"/>
  <c r="L104" i="1" s="1"/>
  <c r="I104" i="1"/>
  <c r="K103" i="1"/>
  <c r="L103" i="1" s="1"/>
  <c r="J103" i="1"/>
  <c r="I103" i="1"/>
  <c r="J102" i="1"/>
  <c r="K102" i="1" s="1"/>
  <c r="L102" i="1" s="1"/>
  <c r="I102" i="1"/>
  <c r="J101" i="1"/>
  <c r="K101" i="1" s="1"/>
  <c r="L101" i="1" s="1"/>
  <c r="I101" i="1"/>
  <c r="J100" i="1"/>
  <c r="K100" i="1" s="1"/>
  <c r="L100" i="1" s="1"/>
  <c r="I100" i="1"/>
  <c r="J99" i="1"/>
  <c r="K99" i="1" s="1"/>
  <c r="L99" i="1" s="1"/>
  <c r="I99" i="1"/>
  <c r="J98" i="1"/>
  <c r="K98" i="1" s="1"/>
  <c r="L98" i="1" s="1"/>
  <c r="I98" i="1"/>
  <c r="J97" i="1"/>
  <c r="K97" i="1" s="1"/>
  <c r="L97" i="1" s="1"/>
  <c r="I97" i="1"/>
  <c r="J96" i="1"/>
  <c r="K96" i="1" s="1"/>
  <c r="L96" i="1" s="1"/>
  <c r="I96" i="1"/>
  <c r="J95" i="1"/>
  <c r="K95" i="1" s="1"/>
  <c r="L95" i="1" s="1"/>
  <c r="I95" i="1"/>
  <c r="J94" i="1"/>
  <c r="K94" i="1" s="1"/>
  <c r="L94" i="1" s="1"/>
  <c r="I94" i="1"/>
  <c r="J93" i="1"/>
  <c r="K93" i="1" s="1"/>
  <c r="L93" i="1" s="1"/>
  <c r="I93" i="1"/>
  <c r="J92" i="1"/>
  <c r="K92" i="1" s="1"/>
  <c r="L92" i="1" s="1"/>
  <c r="I92" i="1"/>
  <c r="J91" i="1"/>
  <c r="K91" i="1" s="1"/>
  <c r="L91" i="1" s="1"/>
  <c r="I91" i="1"/>
  <c r="J90" i="1"/>
  <c r="K90" i="1" s="1"/>
  <c r="L90" i="1" s="1"/>
  <c r="I90" i="1"/>
  <c r="J89" i="1"/>
  <c r="K89" i="1" s="1"/>
  <c r="L89" i="1" s="1"/>
  <c r="I89" i="1"/>
  <c r="J88" i="1"/>
  <c r="K88" i="1" s="1"/>
  <c r="L88" i="1" s="1"/>
  <c r="I88" i="1"/>
  <c r="J87" i="1"/>
  <c r="K87" i="1" s="1"/>
  <c r="L87" i="1" s="1"/>
  <c r="I87" i="1"/>
  <c r="J86" i="1"/>
  <c r="K86" i="1" s="1"/>
  <c r="L86" i="1" s="1"/>
  <c r="I86" i="1"/>
  <c r="J85" i="1"/>
  <c r="K85" i="1" s="1"/>
  <c r="L85" i="1" s="1"/>
  <c r="I85" i="1"/>
  <c r="J84" i="1"/>
  <c r="K84" i="1" s="1"/>
  <c r="L84" i="1" s="1"/>
  <c r="I84" i="1"/>
  <c r="J83" i="1"/>
  <c r="K83" i="1" s="1"/>
  <c r="L83" i="1" s="1"/>
  <c r="I83" i="1"/>
  <c r="J82" i="1"/>
  <c r="K82" i="1" s="1"/>
  <c r="L82" i="1" s="1"/>
  <c r="I82" i="1"/>
  <c r="J81" i="1"/>
  <c r="K81" i="1" s="1"/>
  <c r="L81" i="1" s="1"/>
  <c r="I81" i="1"/>
  <c r="J80" i="1"/>
  <c r="K80" i="1" s="1"/>
  <c r="L80" i="1" s="1"/>
  <c r="I80" i="1"/>
  <c r="J79" i="1"/>
  <c r="K79" i="1" s="1"/>
  <c r="L79" i="1" s="1"/>
  <c r="I79" i="1"/>
  <c r="J78" i="1"/>
  <c r="K78" i="1" s="1"/>
  <c r="L78" i="1" s="1"/>
  <c r="I78" i="1"/>
  <c r="J77" i="1"/>
  <c r="K77" i="1" s="1"/>
  <c r="L77" i="1" s="1"/>
  <c r="I77" i="1"/>
  <c r="J76" i="1"/>
  <c r="K76" i="1" s="1"/>
  <c r="L76" i="1" s="1"/>
  <c r="I76" i="1"/>
  <c r="J75" i="1"/>
  <c r="K75" i="1" s="1"/>
  <c r="L75" i="1" s="1"/>
  <c r="I75" i="1"/>
  <c r="K74" i="1"/>
  <c r="L74" i="1" s="1"/>
  <c r="J74" i="1"/>
  <c r="I74" i="1"/>
  <c r="J73" i="1"/>
  <c r="K73" i="1" s="1"/>
  <c r="L73" i="1" s="1"/>
  <c r="I73" i="1"/>
  <c r="J72" i="1"/>
  <c r="K72" i="1" s="1"/>
  <c r="L72" i="1" s="1"/>
  <c r="I72" i="1"/>
  <c r="J71" i="1"/>
  <c r="K71" i="1" s="1"/>
  <c r="L71" i="1" s="1"/>
  <c r="I71" i="1"/>
  <c r="J70" i="1"/>
  <c r="K70" i="1" s="1"/>
  <c r="L70" i="1" s="1"/>
  <c r="I70" i="1"/>
  <c r="J69" i="1"/>
  <c r="K69" i="1" s="1"/>
  <c r="L69" i="1" s="1"/>
  <c r="I69" i="1"/>
  <c r="J68" i="1"/>
  <c r="K68" i="1" s="1"/>
  <c r="L68" i="1" s="1"/>
  <c r="I68" i="1"/>
  <c r="J67" i="1"/>
  <c r="K67" i="1" s="1"/>
  <c r="L67" i="1" s="1"/>
  <c r="I67" i="1"/>
  <c r="J66" i="1"/>
  <c r="K66" i="1" s="1"/>
  <c r="L66" i="1" s="1"/>
  <c r="I66" i="1"/>
  <c r="J65" i="1"/>
  <c r="K65" i="1" s="1"/>
  <c r="L65" i="1" s="1"/>
  <c r="I65" i="1"/>
  <c r="J64" i="1"/>
  <c r="K64" i="1" s="1"/>
  <c r="L64" i="1" s="1"/>
  <c r="I64" i="1"/>
  <c r="J63" i="1"/>
  <c r="K63" i="1" s="1"/>
  <c r="L63" i="1" s="1"/>
  <c r="I63" i="1"/>
  <c r="J62" i="1"/>
  <c r="K62" i="1" s="1"/>
  <c r="L62" i="1" s="1"/>
  <c r="I62" i="1"/>
  <c r="J61" i="1"/>
  <c r="K61" i="1" s="1"/>
  <c r="L61" i="1" s="1"/>
  <c r="I61" i="1"/>
  <c r="J60" i="1"/>
  <c r="K60" i="1" s="1"/>
  <c r="L60" i="1" s="1"/>
  <c r="I60" i="1"/>
  <c r="J59" i="1"/>
  <c r="K59" i="1" s="1"/>
  <c r="L59" i="1" s="1"/>
  <c r="I59" i="1"/>
  <c r="J58" i="1"/>
  <c r="K58" i="1" s="1"/>
  <c r="L58" i="1" s="1"/>
  <c r="I58" i="1"/>
  <c r="J57" i="1"/>
  <c r="K57" i="1" s="1"/>
  <c r="L57" i="1" s="1"/>
  <c r="I57" i="1"/>
  <c r="J56" i="1"/>
  <c r="K56" i="1" s="1"/>
  <c r="L56" i="1" s="1"/>
  <c r="I56" i="1"/>
  <c r="J55" i="1"/>
  <c r="K55" i="1" s="1"/>
  <c r="L55" i="1" s="1"/>
  <c r="I55" i="1"/>
  <c r="J54" i="1"/>
  <c r="K54" i="1" s="1"/>
  <c r="L54" i="1" s="1"/>
  <c r="I54" i="1"/>
  <c r="J53" i="1"/>
  <c r="K53" i="1" s="1"/>
  <c r="L53" i="1" s="1"/>
  <c r="I53" i="1"/>
  <c r="J52" i="1"/>
  <c r="K52" i="1" s="1"/>
  <c r="L52" i="1" s="1"/>
  <c r="I52" i="1"/>
  <c r="J51" i="1"/>
  <c r="K51" i="1" s="1"/>
  <c r="L51" i="1" s="1"/>
  <c r="I51" i="1"/>
  <c r="J50" i="1"/>
  <c r="K50" i="1" s="1"/>
  <c r="L50" i="1" s="1"/>
  <c r="I50" i="1"/>
  <c r="J49" i="1"/>
  <c r="K49" i="1" s="1"/>
  <c r="L49" i="1" s="1"/>
  <c r="I49" i="1"/>
  <c r="J48" i="1"/>
  <c r="K48" i="1" s="1"/>
  <c r="L48" i="1" s="1"/>
  <c r="I48" i="1"/>
  <c r="J47" i="1"/>
  <c r="K47" i="1" s="1"/>
  <c r="L47" i="1" s="1"/>
  <c r="I47" i="1"/>
  <c r="J46" i="1"/>
  <c r="K46" i="1" s="1"/>
  <c r="L46" i="1" s="1"/>
  <c r="I46" i="1"/>
  <c r="K45" i="1"/>
  <c r="L45" i="1" s="1"/>
  <c r="J45" i="1"/>
  <c r="I45" i="1"/>
  <c r="J44" i="1"/>
  <c r="K44" i="1" s="1"/>
  <c r="L44" i="1" s="1"/>
  <c r="I44" i="1"/>
  <c r="J43" i="1"/>
  <c r="K43" i="1" s="1"/>
  <c r="L43" i="1" s="1"/>
  <c r="I43" i="1"/>
  <c r="J42" i="1"/>
  <c r="K42" i="1" s="1"/>
  <c r="L42" i="1" s="1"/>
  <c r="I42" i="1"/>
  <c r="J41" i="1"/>
  <c r="K41" i="1" s="1"/>
  <c r="L41" i="1" s="1"/>
  <c r="I41" i="1"/>
  <c r="J40" i="1"/>
  <c r="K40" i="1" s="1"/>
  <c r="L40" i="1" s="1"/>
  <c r="I40" i="1"/>
  <c r="J39" i="1"/>
  <c r="K39" i="1" s="1"/>
  <c r="L39" i="1" s="1"/>
  <c r="I39" i="1"/>
  <c r="J38" i="1"/>
  <c r="K38" i="1" s="1"/>
  <c r="L38" i="1" s="1"/>
  <c r="I38" i="1"/>
  <c r="J37" i="1"/>
  <c r="K37" i="1" s="1"/>
  <c r="L37" i="1" s="1"/>
  <c r="I37" i="1"/>
  <c r="J36" i="1"/>
  <c r="K36" i="1" s="1"/>
  <c r="L36" i="1" s="1"/>
  <c r="I36" i="1"/>
  <c r="J35" i="1"/>
  <c r="K35" i="1" s="1"/>
  <c r="L35" i="1" s="1"/>
  <c r="I35" i="1"/>
  <c r="J34" i="1"/>
  <c r="K34" i="1" s="1"/>
  <c r="L34" i="1" s="1"/>
  <c r="I34" i="1"/>
  <c r="J33" i="1"/>
  <c r="K33" i="1" s="1"/>
  <c r="L33" i="1" s="1"/>
  <c r="I33" i="1"/>
  <c r="J32" i="1"/>
  <c r="K32" i="1" s="1"/>
  <c r="L32" i="1" s="1"/>
  <c r="I32" i="1"/>
  <c r="J31" i="1"/>
  <c r="K31" i="1" s="1"/>
  <c r="L31" i="1" s="1"/>
  <c r="I31" i="1"/>
  <c r="J30" i="1"/>
  <c r="K30" i="1" s="1"/>
  <c r="L30" i="1" s="1"/>
  <c r="I30" i="1"/>
  <c r="J29" i="1"/>
  <c r="K29" i="1" s="1"/>
  <c r="L29" i="1" s="1"/>
  <c r="I29" i="1"/>
  <c r="J28" i="1"/>
  <c r="K28" i="1" s="1"/>
  <c r="L28" i="1" s="1"/>
  <c r="I28" i="1"/>
  <c r="J27" i="1"/>
  <c r="K27" i="1" s="1"/>
  <c r="L27" i="1" s="1"/>
  <c r="I27" i="1"/>
  <c r="J26" i="1"/>
  <c r="K26" i="1" s="1"/>
  <c r="L26" i="1" s="1"/>
  <c r="I26" i="1"/>
  <c r="J25" i="1"/>
  <c r="K25" i="1" s="1"/>
  <c r="L25" i="1" s="1"/>
  <c r="I25" i="1"/>
  <c r="J24" i="1"/>
  <c r="K24" i="1" s="1"/>
  <c r="L24" i="1" s="1"/>
  <c r="I24" i="1"/>
  <c r="J23" i="1"/>
  <c r="K23" i="1" s="1"/>
  <c r="L23" i="1" s="1"/>
  <c r="I23" i="1"/>
  <c r="J22" i="1"/>
  <c r="K22" i="1" s="1"/>
  <c r="L22" i="1" s="1"/>
  <c r="I22" i="1"/>
  <c r="J21" i="1"/>
  <c r="K21" i="1" s="1"/>
  <c r="L21" i="1" s="1"/>
  <c r="I21" i="1"/>
  <c r="J20" i="1"/>
  <c r="K20" i="1" s="1"/>
  <c r="L20" i="1" s="1"/>
  <c r="I20" i="1"/>
  <c r="J19" i="1"/>
  <c r="K19" i="1" s="1"/>
  <c r="L19" i="1" s="1"/>
  <c r="I19" i="1"/>
  <c r="J18" i="1"/>
  <c r="K18" i="1" s="1"/>
  <c r="L18" i="1" s="1"/>
  <c r="I18" i="1"/>
  <c r="J17" i="1"/>
  <c r="K17" i="1" s="1"/>
  <c r="L17" i="1" s="1"/>
  <c r="I17" i="1"/>
  <c r="J16" i="1"/>
  <c r="K16" i="1" s="1"/>
  <c r="L16" i="1" s="1"/>
  <c r="I16" i="1"/>
  <c r="J15" i="1"/>
  <c r="K15" i="1" s="1"/>
  <c r="L15" i="1" s="1"/>
  <c r="I15" i="1"/>
  <c r="J14" i="1"/>
  <c r="K14" i="1" s="1"/>
  <c r="L14" i="1" s="1"/>
  <c r="I14" i="1"/>
  <c r="J13" i="1"/>
  <c r="K13" i="1" s="1"/>
  <c r="L13" i="1" s="1"/>
  <c r="I13" i="1"/>
  <c r="J12" i="1"/>
  <c r="K12" i="1" s="1"/>
  <c r="L12" i="1" s="1"/>
  <c r="I12" i="1"/>
  <c r="J11" i="1"/>
  <c r="K11" i="1" s="1"/>
  <c r="L11" i="1" s="1"/>
  <c r="I11" i="1"/>
  <c r="J10" i="1"/>
  <c r="K10" i="1" s="1"/>
  <c r="L10" i="1" s="1"/>
  <c r="I10" i="1"/>
  <c r="J9" i="1"/>
  <c r="K9" i="1" s="1"/>
  <c r="L9" i="1" s="1"/>
  <c r="I9" i="1"/>
  <c r="J8" i="1"/>
  <c r="K8" i="1" s="1"/>
  <c r="L8" i="1" s="1"/>
  <c r="I8" i="1"/>
  <c r="J7" i="1"/>
  <c r="K7" i="1" s="1"/>
  <c r="L7" i="1" s="1"/>
  <c r="I7" i="1"/>
  <c r="J6" i="1"/>
  <c r="K6" i="1" s="1"/>
  <c r="L6" i="1" s="1"/>
  <c r="I6" i="1"/>
  <c r="J5" i="1"/>
  <c r="K5" i="1" s="1"/>
  <c r="L5" i="1" s="1"/>
  <c r="I5" i="1"/>
  <c r="J4" i="1"/>
  <c r="K4" i="1" s="1"/>
  <c r="L4" i="1" s="1"/>
  <c r="I4" i="1"/>
  <c r="J3" i="1"/>
  <c r="K3" i="1" s="1"/>
  <c r="L3" i="1" s="1"/>
  <c r="I3" i="1"/>
  <c r="J2" i="1"/>
  <c r="I2" i="1"/>
  <c r="I118" i="1" s="1"/>
  <c r="J118" i="1" l="1"/>
  <c r="K2" i="1"/>
  <c r="L2" i="1" l="1"/>
  <c r="L118" i="1" s="1"/>
  <c r="K118" i="1"/>
</calcChain>
</file>

<file path=xl/sharedStrings.xml><?xml version="1.0" encoding="utf-8"?>
<sst xmlns="http://schemas.openxmlformats.org/spreadsheetml/2006/main" count="1051" uniqueCount="999">
  <si>
    <t xml:space="preserve">Codigo </t>
  </si>
  <si>
    <t>Descripcion</t>
  </si>
  <si>
    <t>cantidad</t>
  </si>
  <si>
    <t>PVP</t>
  </si>
  <si>
    <t>PT</t>
  </si>
  <si>
    <t>PTDes</t>
  </si>
  <si>
    <t>PUsinIVA</t>
  </si>
  <si>
    <t>PTSinIVA</t>
  </si>
  <si>
    <t>PRECIO TOTAL 61.2%</t>
  </si>
  <si>
    <t xml:space="preserve">PRECIO UNITARIO </t>
  </si>
  <si>
    <t xml:space="preserve">PRECIO UNITARIO SIN IVA </t>
  </si>
  <si>
    <t xml:space="preserve">PRECIO TOTAL SIN IVA </t>
  </si>
  <si>
    <t>MS016492</t>
  </si>
  <si>
    <t>CAMISETA MAS C/R COLOR ENTERO VERDE AGUA HOMBRE</t>
  </si>
  <si>
    <t>MS0164I</t>
  </si>
  <si>
    <t>CAMISETA BEAR &amp; TREND MS0164 SP BS C/R COLOR ENTERO CAFE HOMBRE</t>
  </si>
  <si>
    <t>MS0168D</t>
  </si>
  <si>
    <t>HODDIE MAS MS0168 SP BS BOLSILLO SOBREPUESTO NEGRO UNISEX</t>
  </si>
  <si>
    <t>MS0177E</t>
  </si>
  <si>
    <t>CAMISETA MAS MS0177 SP MD C/R CARICATURAS ROJO UNISEX</t>
  </si>
  <si>
    <t>MS01901</t>
  </si>
  <si>
    <t>PALAZZO MAS MS0190 IF MD PINZAS DELANTERAS CINCHON ANCHO ELASTICO ATRÁS MOSTAZA MUJER</t>
  </si>
  <si>
    <t>MS019011</t>
  </si>
  <si>
    <t>PALAZZO MAS MS0190 IF MD PINZAS DELANTERAS CINCHON ANCHO ELASTICO ATRÁS LILA MUJER</t>
  </si>
  <si>
    <t>MS0191ART</t>
  </si>
  <si>
    <t>HODDIE MAS MS0191 SP BM ESTAMPADO ART BOLSILLO SOBREPUESTO UNISEX</t>
  </si>
  <si>
    <t>MS0191BD</t>
  </si>
  <si>
    <t>HODDIE B&amp;T MS0191 SP BM ESTAMPADO BE DIFFERENT BOLSILLO SOBREPUESTO UNISEX</t>
  </si>
  <si>
    <t>MS0191BI</t>
  </si>
  <si>
    <t>HODDIE BEAR &amp; TREND MS0191 SP BM ESTAMPADO BAD IDEAS GOOD STORIES BOLSILLO SOBREPUESTO UNISEX</t>
  </si>
  <si>
    <t>MS0191EEX</t>
  </si>
  <si>
    <t>HODDIE MAS MS0191 SP BM ESTAMPADO ECUADOR UNISEX</t>
  </si>
  <si>
    <t>MS0191F1R</t>
  </si>
  <si>
    <t>HODDIE MAS MS0191 SP BM ESTAMPADO FORMULA 1 REVOLUT UNISEX</t>
  </si>
  <si>
    <t>MS0191F1S26</t>
  </si>
  <si>
    <t>HODDIE B&amp;T MS0191 SP BM ESTAMPADO FORMULA 1SCHEDULE 2026 BOLSILLO SOBREPUESTO UNISEX</t>
  </si>
  <si>
    <t>MS0191FM</t>
  </si>
  <si>
    <t>HODDIE MAS MS0191 SP BM ESTAMPADO FORMULA 1 RACING BOLSILLO SOBREPUESTO UNISEX</t>
  </si>
  <si>
    <t>MS0191FMP</t>
  </si>
  <si>
    <t>HODDIE MAS MS0191 SP BM ESTAMPADO FORMULA 1 PODIUM BOLSILLO SOBREPUESTO UNISEX</t>
  </si>
  <si>
    <t>MS0191FSF</t>
  </si>
  <si>
    <t>HODDIE MAS MS0191 SP BM ESTAMPADO FERRARI SF-26 UNISEX</t>
  </si>
  <si>
    <t>MS0191LKY</t>
  </si>
  <si>
    <t>HODDIE MAS MS0191 SP BM ESTAMPADO LUCKY UNISEX</t>
  </si>
  <si>
    <t>MS0191MBW</t>
  </si>
  <si>
    <t>HODDIE MAS MS0191 SP BM ESTAMPADO MARLBORO BOLSILLO SOBREPUESTO UNISEX</t>
  </si>
  <si>
    <t>MS0191MCL</t>
  </si>
  <si>
    <t>HODDIE MAS MS0191 SP BM ESTAMPADO MCLAREN BOLSILLO SOBREPUESTO UNISEX</t>
  </si>
  <si>
    <t>MS0191MF</t>
  </si>
  <si>
    <t>HODDIE MAS MS0191 SP BM ESTAMPADO MERCEDES PETRONAS BOLSILLO SOBREPUESTO UNISEX</t>
  </si>
  <si>
    <t>MS0191MPS</t>
  </si>
  <si>
    <t>HODDIE MAS MS0191 SP BM ESTAMPADO MERCEDES PETRONAS SNOOPY TEAM BOLSILLO SOBREPUESTO UNISEX</t>
  </si>
  <si>
    <t>MS0191PXR</t>
  </si>
  <si>
    <t>HODDIE BEAR &amp; TREND MS0191 SP BM ESTAMPADO PIXAR BOLSILLO SOBREPUESTO UNISEX</t>
  </si>
  <si>
    <t>MS0191QNK</t>
  </si>
  <si>
    <t>HODDIE MAS MS0191 SP BM ESTAMPADO CUENCA CATEDRAL UNISEX</t>
  </si>
  <si>
    <t>MS0191RB</t>
  </si>
  <si>
    <t>HODDIE MAS MS0191 SP BM ESTAMPADO RED BULL UNISEX</t>
  </si>
  <si>
    <t>MS0191RBO</t>
  </si>
  <si>
    <t>HODDIE MAS MS0191 SP BM ESTAMPADO RED BULL ORACLE UNISEX</t>
  </si>
  <si>
    <t>MS0191RBS</t>
  </si>
  <si>
    <t>HODDIE MAS MS0191 SP BM ESTAMPADO RED BULL SNOOPY UNISEX</t>
  </si>
  <si>
    <t>MS0191TG</t>
  </si>
  <si>
    <t>HODDIE BEAR &amp; TREND MS0191 SP BM ESTAMPADO TIGRILLO BOLSILLO SOBREPUESTO UNISEX</t>
  </si>
  <si>
    <t>MS0191TRS</t>
  </si>
  <si>
    <t>HODDIE MAS MS0191 SP BM ESTAMPADO TRUST BOLSILLO SOBREPUESTO UNISEX</t>
  </si>
  <si>
    <t>MS0191VNT</t>
  </si>
  <si>
    <t>HODDIE MAS MS0191 SP BM ESTAMPADO VINTAGE BOLSILLO SOBREPUESTO UNISEX</t>
  </si>
  <si>
    <t>MS0191WFS</t>
  </si>
  <si>
    <t>HODDIE MAS MS0191 SP BM ESTAMPADO WAFFLES BOLSILLO SOBREPUESTO UNISEX</t>
  </si>
  <si>
    <t>MS019698</t>
  </si>
  <si>
    <t>CAMISETA MAS MS0196 SP BS DORMELLA CUELLO CHINO BOTONES BOLSILLO FALSO PECHO UVA HOMBRE</t>
  </si>
  <si>
    <t>MS0196D</t>
  </si>
  <si>
    <t>CAMISETA BEAR &amp; TREND MS0196 SP BS DORMELLA CUELLO CHINO BOTONES BOLSILLO FALSO  NEGRO HOMBRE</t>
  </si>
  <si>
    <t>MS0196E</t>
  </si>
  <si>
    <t>CAMISETA BEAR &amp; TREND MS0196 SP BS DORMELLA CUELLO CHINO BOTONES BOLSILLO FALSO   ROJO HOMBRE</t>
  </si>
  <si>
    <t>MS0205F1R</t>
  </si>
  <si>
    <t>CAMISETA MAS MS0205 SP BM C/R ESTAMPADO FORMULA REVOLUT HOMBRE</t>
  </si>
  <si>
    <t>MS0205FRR</t>
  </si>
  <si>
    <t>CAMISETA MAS MS0205 SP BM C/R FERRARI HOMBRE</t>
  </si>
  <si>
    <t>MS0205FS26</t>
  </si>
  <si>
    <t>CAMISETA MAS MS0205 SP BM C/R ESTAMPADA FORMULA SCHEDULE 2026 HOMBRE</t>
  </si>
  <si>
    <t>MS0205FTM</t>
  </si>
  <si>
    <t>CAMISETA MAS MS0205 SP BM C/R  FORMULA 1TM COLLECTION HOMBRE</t>
  </si>
  <si>
    <t>MS0205MC</t>
  </si>
  <si>
    <t>CAMISETA MAS MS0205 C/R ESTAMPADO MCLAREN HOMBRE</t>
  </si>
  <si>
    <t>MS0205NYS</t>
  </si>
  <si>
    <t>CAMISETA MAS MS0205 SP BM C/R PREMIUN NEW YORK SUBWAY HOMBRE</t>
  </si>
  <si>
    <t>MS0205PTS</t>
  </si>
  <si>
    <t>CAMISETA B&amp;T MS0205 SP BM C/R PETRONAS COLLECTION HOMBRE</t>
  </si>
  <si>
    <t>MS0205PXR</t>
  </si>
  <si>
    <t>CAMISETA B&amp;T MS0205 SP BM C/R PIXAR COLLECTION HOMBRE</t>
  </si>
  <si>
    <t>MS0205RBO</t>
  </si>
  <si>
    <t>CAMISETA MAS MS0205 SP BM C/R RED BULL ORACLE HOMBRE</t>
  </si>
  <si>
    <t>MS0205SNRB</t>
  </si>
  <si>
    <t>CAMISETA B&amp;T MS0205 SP BM C/R SNOOPY AMIGOS FORMULA  HOMBRE</t>
  </si>
  <si>
    <t>MS0205STP</t>
  </si>
  <si>
    <t>CAMISETA B&amp;T MS0205 SP BM ESTAMPADO STUPID IN THE WORLD UNISEX</t>
  </si>
  <si>
    <t>MS0205UNF</t>
  </si>
  <si>
    <t>CAMISETA B&amp;T MS0205 SP BM C/R UNFILTERED COLLECTION HOMBRE</t>
  </si>
  <si>
    <t>MS0205WFS</t>
  </si>
  <si>
    <t>CAMISETA B&amp;T MS0205 SP BM C/R WAFFLES COLLECTION HOMBRE</t>
  </si>
  <si>
    <t>MS0213127</t>
  </si>
  <si>
    <t>JOGGER MAS FLECEE IF BS COLOR ENTERO  VERDE TEA UNISEX</t>
  </si>
  <si>
    <t>MS0215115</t>
  </si>
  <si>
    <t>BUSO B&amp;T MS0215 GALLETA SP BS CUELLO CHINO BOTONES  MARFIL HOMBRE</t>
  </si>
  <si>
    <t>MS0215127</t>
  </si>
  <si>
    <t>BUSO B&amp;T MS0215 GALLETA SP BS CUELLO CHINO BOTONES  VERDE TEA HOMBRE</t>
  </si>
  <si>
    <t>MS021518</t>
  </si>
  <si>
    <t>BUSO MAS MS0215 GALLETA SP BS CUELLO CHINO BOTONES COLOR ENTERO  CREMA HOMBRE</t>
  </si>
  <si>
    <t>MS021528</t>
  </si>
  <si>
    <t>BUSO B&amp;T MS0215 GALLETA SP BS CUELLO CHINO BOTONES COLOR ENTERO  VERDE MILITAR HOMBRE</t>
  </si>
  <si>
    <t>MS021540</t>
  </si>
  <si>
    <t>BUSO B&amp;T MS0215 GALLETA SP BS CUELLO CHINO BOTONES  TAUPE HOMBRE</t>
  </si>
  <si>
    <t>MS0215A1</t>
  </si>
  <si>
    <t>BUSO MAS MS0215 GALLETA SP BS CUELLO CHINO BOTONES COLOR ENTERO  AVENA HOMBRE</t>
  </si>
  <si>
    <t>MS0215D</t>
  </si>
  <si>
    <t>BUSO B&amp;T MS0215 GALLETA SP BS CUELLO CHINO BOTONES  NEGRO HOMBRE</t>
  </si>
  <si>
    <t>MS0215I</t>
  </si>
  <si>
    <t>BUSO B&amp;T MS0215 GALLETA SP BS CUELLO CHINO BOTONES  CAFE HOMBRE</t>
  </si>
  <si>
    <t>MS0215S</t>
  </si>
  <si>
    <t>BUSO B&amp;T MS0215 GALLETA SP BS CUELLO CHINO BOTONES  BEIGE HOMBRE</t>
  </si>
  <si>
    <t>MS0215T</t>
  </si>
  <si>
    <t>BUSO MAS MS0215 GALLETA SP BS CUELLO CHINO BOTONES COLOR  PLOMO HOMBRE</t>
  </si>
  <si>
    <t>MS0215VM</t>
  </si>
  <si>
    <t>BUSO B&amp;T MS0215 GALLETA SP BS CUELLO CHINO BOTONES  VERDEMANZANA HOMBRE</t>
  </si>
  <si>
    <t>MS0215X</t>
  </si>
  <si>
    <t>BUSO B&amp;T MS0215 GALLETA SP BS CUELLO CHINO BOTONES  CAMEL HOMBRE</t>
  </si>
  <si>
    <t>MS0229S</t>
  </si>
  <si>
    <t>TOP MAS MS0229 SP MD TIRA ANCHA ABERTURA DELANTERA  BEIGE MUJER</t>
  </si>
  <si>
    <t>MS0240TQL</t>
  </si>
  <si>
    <t>BUSO MAS MS0240 C/R ESTAMPADO TEQUILA HOMBRE</t>
  </si>
  <si>
    <t>MS0241127</t>
  </si>
  <si>
    <t>CAMISETA B&amp;T MS0196 SP BS DORMELLA CUELLO CHINO BOTONES  VERDE TEA HOMBRE</t>
  </si>
  <si>
    <t>MS024128</t>
  </si>
  <si>
    <t>CAMISETA BEAR &amp; TREND MS0196 SP BS DORMELLA CUELLO CHINO BOTONES  VERDE MILITAR HOMBRE</t>
  </si>
  <si>
    <t>MS024143</t>
  </si>
  <si>
    <t>CAMISETA BEAR &amp; TREND MS0196 SP BS DORMELLA CUELLO CHINO BOTONES  ROSA HOMBRE</t>
  </si>
  <si>
    <t>MS024163</t>
  </si>
  <si>
    <t>CAMISETA B&amp;T MS0196 SP BS DORMELLA CUELLO CHINO BOTONES  ROSA BEBE HOMBRE</t>
  </si>
  <si>
    <t>MS0241A1</t>
  </si>
  <si>
    <t>CAMISETA B&amp;T MS0196 SP BS DORMELLA CUELLO CHINO BOTONES  AVENA HOMBRE</t>
  </si>
  <si>
    <t>MS0241D</t>
  </si>
  <si>
    <t>CAMISETA B&amp;T MS0196 SP BS DORMELLA CUELLO CHINO BOTONES  NEGRO HOMBRE</t>
  </si>
  <si>
    <t>MS0241S</t>
  </si>
  <si>
    <t>CAMISETA B&amp;T MS0196 SP BS DORMELLA CUELLO CHINO BOTONES  BEIGE HOMBRE</t>
  </si>
  <si>
    <t>MS024611</t>
  </si>
  <si>
    <t>TOP MAS MS0246 SP BS C/V FILOS OVERLOCK FINO  LILA MUJER</t>
  </si>
  <si>
    <t>MS0246B</t>
  </si>
  <si>
    <t>TOP MAS MS0246 SP BS C/V FILOS OVERLOCK FINO  BLANCO MUJER</t>
  </si>
  <si>
    <t>MS0246O</t>
  </si>
  <si>
    <t>TOP MAS MS0246 SP BS C/V FILOS OVERLOCK FINO  AZUL MARINO MUJER</t>
  </si>
  <si>
    <t>MS0246S</t>
  </si>
  <si>
    <t>TOP MAS MS0246 SP BS C/V FILOS OVERLOCK FINO  BEIGE MUJER</t>
  </si>
  <si>
    <t>MS024711</t>
  </si>
  <si>
    <t>TOP MAS MS0247 SP MD M/L CAMPESINA FILOS OVERLOCK  LILA MUJER</t>
  </si>
  <si>
    <t>MS0247J</t>
  </si>
  <si>
    <t>TOP MAS MS0247 SP MD M/L CAMPESINA FILOS OVERLOCK  CELESTE MUJER</t>
  </si>
  <si>
    <t>MS0247X</t>
  </si>
  <si>
    <t>TOP MAS MS0247 SP MD M/L CAMPESINA FILOS OVERLOCK  CAMEL MUJER</t>
  </si>
  <si>
    <t>MS024911</t>
  </si>
  <si>
    <t>TOP MAS MS0249 C/R M/L HOMBROS ENCARRUJADOS SEMIESCOTE ESPALDA  LILA MUJER</t>
  </si>
  <si>
    <t>MS024966</t>
  </si>
  <si>
    <t>TOP MAS MS0249 C/R M/L HOMBROS ENCARRUJADOS SEMIESCOTE ESPALDA  SOBRANTE MUJER</t>
  </si>
  <si>
    <t>MS0301</t>
  </si>
  <si>
    <t>GORRA MAS MS0301 AC BM FORMULA PILOTO</t>
  </si>
  <si>
    <t>MS0337MC</t>
  </si>
  <si>
    <t>CAMISETA BEAR &amp; TREND  SP BS C/R BOLSILLO PECHO OVERSIZE  ESTAMPADO MC LAREN HOMBRE</t>
  </si>
  <si>
    <t>MS0337PT</t>
  </si>
  <si>
    <t>CAMISETA BEAR &amp; TREND  SP BS C/R BOLSILLO PECHO OVERSIZE  ESTAMPADO PETRONAS HOMBRE</t>
  </si>
  <si>
    <t>MS0338D</t>
  </si>
  <si>
    <t>CAMISETA BEAR &amp; TREND C/R BOLSILLO PECHO GALLETA  NEGRO HOMBRE</t>
  </si>
  <si>
    <t>MS0338S</t>
  </si>
  <si>
    <t>CAMISETA BEAR &amp; TREND C/R BOLSILLO PECHO GALLETA  BEIGE HOMBRE</t>
  </si>
  <si>
    <t>MS0339115</t>
  </si>
  <si>
    <t>BUSO BEAR &amp; TREND SP BM C/R ENCARRUJADA COSTADOS  MARFIL MUJER</t>
  </si>
  <si>
    <t>MS0339D</t>
  </si>
  <si>
    <t>BUSO BEAR &amp; TREND SP BM C/R ENCARRUJADA COSTADOS  NEGRO MUJER</t>
  </si>
  <si>
    <t>MS034013</t>
  </si>
  <si>
    <t>BUSO BEAR &amp; TREND MS0340 C/R CORTO PALO ROSA MUJER</t>
  </si>
  <si>
    <t>MS0340S</t>
  </si>
  <si>
    <t>BUSO BEAR &amp; TREND MS0340 C/R CORTO BEIGE MUJER</t>
  </si>
  <si>
    <t>MS034118</t>
  </si>
  <si>
    <t>BUSO BEAR &amp; TREND MS0341C/R BS  CREMA MUJER</t>
  </si>
  <si>
    <t>MS0341X</t>
  </si>
  <si>
    <t>BUSO BEAR &amp; TREND MS0341C/R BS  CAMEL MUJER</t>
  </si>
  <si>
    <t>MS0342115</t>
  </si>
  <si>
    <t>BUSO B&amp;T MS0342 SP BM CUELLO OJAL CORTO  MARFIL MUJER</t>
  </si>
  <si>
    <t>MS0342D</t>
  </si>
  <si>
    <t>BUSO B&amp;T MS0342 SP BM CUELLO OJAL CORTO  NEGRO MUJER</t>
  </si>
  <si>
    <t>MS0342X</t>
  </si>
  <si>
    <t>BUSO B&amp;T MS0342 SP BM CUELLO OJAL CORTO  CAMEL MUJER</t>
  </si>
  <si>
    <t>MS0343115</t>
  </si>
  <si>
    <t>MS0343D</t>
  </si>
  <si>
    <t>MS0343F</t>
  </si>
  <si>
    <t>BUSO B&amp;T MS0342 SP BM CUELLO OJAL CORTO  FUCSIA MUJER</t>
  </si>
  <si>
    <t>MS0343X</t>
  </si>
  <si>
    <t>MS034518</t>
  </si>
  <si>
    <t>PANT BEAR &amp; TREND MS0345 VALE RECTO ELASTICO PERDIDO  CREMA MUJER</t>
  </si>
  <si>
    <t>MS0345D</t>
  </si>
  <si>
    <t>PANT BEAR &amp; TREND MS0345 VALE RECTO ELASTICO PERDIDO  NEGRO MUJER</t>
  </si>
  <si>
    <t>MS0345S</t>
  </si>
  <si>
    <t>PANT BEAR &amp; TREND MS0345 VALE RECTO ELASTICO PERDIDO  BEIGE MUJER</t>
  </si>
  <si>
    <t>MS034618</t>
  </si>
  <si>
    <t>TOP B&amp;T MS0346 SP BS CUELLO SIN MANGA  CREMA MUJER</t>
  </si>
  <si>
    <t>MS0346D</t>
  </si>
  <si>
    <t>TOP B&amp;T MS0346 SP BS CUELLO SIN MANGA  NEGRO MUJER</t>
  </si>
  <si>
    <t>MS0346I</t>
  </si>
  <si>
    <t>TOP B&amp;T MS0346 SP BS CUELLO SIN MANGA  CAFE MUJER</t>
  </si>
  <si>
    <t>MS0346S</t>
  </si>
  <si>
    <t>TOP B&amp;T MS0346 SP BS CUELLO SIN MANGA  BEIGE MUJER</t>
  </si>
  <si>
    <t>MS0347S</t>
  </si>
  <si>
    <t>CONJUNTO B&amp;T MS0347 CJ MD MANGA QUIMONA PANT RECTO COLOR ENTERO  BEIGE MUJER</t>
  </si>
  <si>
    <t>MS034943B</t>
  </si>
  <si>
    <t>BUZO B&amp;T MS0349 SP MD C/R FILO ASIMETRICO ROSA MUJER</t>
  </si>
  <si>
    <t>MS034943P</t>
  </si>
  <si>
    <t>PANTALON B&amp;T MS0349 IF MD ANCHO ROSA MUJER</t>
  </si>
  <si>
    <t>MS0349XB</t>
  </si>
  <si>
    <t>BUZO B&amp;T MS0349 SP MD C/R FILO ASIMETRICO CAMEL MUJER</t>
  </si>
  <si>
    <t>MS035022</t>
  </si>
  <si>
    <t>HOODIE B&amp;T SP MD MANGA QUIMONA SIN CONSTURAS  CAKI MUJER</t>
  </si>
  <si>
    <t>MS035037</t>
  </si>
  <si>
    <t>HOODIE B&amp;T SP MD MANGA QUIMONA SIN CONSTURAS  CRUDO MUJER</t>
  </si>
  <si>
    <t>MS035043</t>
  </si>
  <si>
    <t>HOODIE B&amp;T SP MD MANGA QUIMONA SIN CONSTURAS  ROSA MUJER</t>
  </si>
  <si>
    <t>MS0350A1</t>
  </si>
  <si>
    <t>HOODIE B&amp;T SP MD MANGA QUIMONA SIN CONSTURAS  AVENA MUJER</t>
  </si>
  <si>
    <t>MS0350D</t>
  </si>
  <si>
    <t>HOODIE B&amp;T SP MD MANGA QUIMONA SIN CONSTURAS  NEGRO MUJER</t>
  </si>
  <si>
    <t>MS0350J</t>
  </si>
  <si>
    <t>HOODIE B&amp;T SP MD MANGA QUIMONA SIN CONSTURAS  CELESTE MUJER</t>
  </si>
  <si>
    <t>MS351122</t>
  </si>
  <si>
    <t>CAMISETA B&amp;T SP BS C/R COLOR ENTERO  VERDE UNIFORME HOMBRE</t>
  </si>
  <si>
    <t>MS352115</t>
  </si>
  <si>
    <t>BUZO B&amp;T SP MD ASIMETRICO  MARFIL MUJER</t>
  </si>
  <si>
    <t>MS35240</t>
  </si>
  <si>
    <t>BUZO B&amp;T SP MD ASIMETRICO  TAUPE MUJER</t>
  </si>
  <si>
    <t>MS352R</t>
  </si>
  <si>
    <t>BUZO B&amp;T SP MD ASIMETRICO  VINO MUJER</t>
  </si>
  <si>
    <t>PK</t>
  </si>
  <si>
    <t>LJ</t>
  </si>
  <si>
    <t>GL</t>
  </si>
  <si>
    <t>GT</t>
  </si>
  <si>
    <t>BS</t>
  </si>
  <si>
    <t>IBA</t>
  </si>
  <si>
    <t>HUMZO</t>
  </si>
  <si>
    <t>CV</t>
  </si>
  <si>
    <t>HUMMER</t>
  </si>
  <si>
    <t>QUITO</t>
  </si>
  <si>
    <t>FRATELLI</t>
  </si>
  <si>
    <t>Ing</t>
  </si>
  <si>
    <t>Venta</t>
  </si>
  <si>
    <t>Otros</t>
  </si>
  <si>
    <t>Exist</t>
  </si>
  <si>
    <t>MS0001</t>
  </si>
  <si>
    <t>BUCKET HAT MAS LAZO Y ESTAMPADO UNISEX</t>
  </si>
  <si>
    <t>MS0002</t>
  </si>
  <si>
    <t>BUCKET HAT MAS LAZO UNISEX</t>
  </si>
  <si>
    <t>MS0003</t>
  </si>
  <si>
    <t>BUCKET HAT MAS TIE DYE UNISEX</t>
  </si>
  <si>
    <t>MS0004</t>
  </si>
  <si>
    <t>BUCKET HAT MAS TIE DYE ESTAMPADO UNISEX</t>
  </si>
  <si>
    <t>MS0005</t>
  </si>
  <si>
    <t>GORRA MAS BASICA ESTAMPADA UNISEX</t>
  </si>
  <si>
    <t>MS0006</t>
  </si>
  <si>
    <t>GORRA MAS CAMIONERA ESTAMPADO ANIMALES UNISEX</t>
  </si>
  <si>
    <t>MS0007</t>
  </si>
  <si>
    <t>GORRA MAS PLANA ESTAMPADO UNISEX</t>
  </si>
  <si>
    <t>MS0008</t>
  </si>
  <si>
    <t>BUCKET HAT MAS COLOR ENTERO BORDADO UNISEX</t>
  </si>
  <si>
    <t>MS0009</t>
  </si>
  <si>
    <t>GORRA MAS MILITAR UNISEX</t>
  </si>
  <si>
    <t>MS0010</t>
  </si>
  <si>
    <t>GORRA MAS BASICA BUHO UNISEX</t>
  </si>
  <si>
    <t>MS00101</t>
  </si>
  <si>
    <t>GORRA MAS BASICA BUHO MOSTAZA UNISEX</t>
  </si>
  <si>
    <t>MS0010116</t>
  </si>
  <si>
    <t>GORRA MAS BASICA BUHO VERDE PINO UNISEX</t>
  </si>
  <si>
    <t>MS001019</t>
  </si>
  <si>
    <t>GORRA MAS BASICA BUHO NARANJA UNISEX</t>
  </si>
  <si>
    <t>MS001023</t>
  </si>
  <si>
    <t>GORRA MAS BASICA BUHO LADRILLO UNISEX</t>
  </si>
  <si>
    <t>MS001028</t>
  </si>
  <si>
    <t>GORRA MAS BASICA BUHO VERDE MILITAR UNISEX</t>
  </si>
  <si>
    <t>MS001033</t>
  </si>
  <si>
    <t>GORRA MAS BASICA BUHO CAPUCHINO UNISEX</t>
  </si>
  <si>
    <t>MS0010B</t>
  </si>
  <si>
    <t>GORRA MAS BASICA BUHO BLANCO UNISEX</t>
  </si>
  <si>
    <t>MS0010D</t>
  </si>
  <si>
    <t>GORRA MAS BASICA BUHO NEGRO UNISEX</t>
  </si>
  <si>
    <t>MS0010F</t>
  </si>
  <si>
    <t>GORRA MAS BASICA BUHO FUCSIA UNISEX</t>
  </si>
  <si>
    <t>MS0010G</t>
  </si>
  <si>
    <t>GORRA MAS BASICA BUHO GRIS UNISEX</t>
  </si>
  <si>
    <t>MS0010K</t>
  </si>
  <si>
    <t>GORRA MAS BASICA BUHO ROSA UNISEX</t>
  </si>
  <si>
    <t>MS0010R</t>
  </si>
  <si>
    <t>GORRA MAS BASICA BUHO VINO UNISEX</t>
  </si>
  <si>
    <t>MS0010U</t>
  </si>
  <si>
    <t>GORRA MAS BASICA BUHO ARENA UNISEX</t>
  </si>
  <si>
    <t>MS0010Z</t>
  </si>
  <si>
    <t>GORRA MAS BASICA BUHO MORADO UNISEX</t>
  </si>
  <si>
    <t>MS0011</t>
  </si>
  <si>
    <t>GORRA MAS BASICA OSO PEQUEÑO UNISEX</t>
  </si>
  <si>
    <t>MS00111</t>
  </si>
  <si>
    <t>GORRA MAS BASICA OSO PEQUEÑO MOSTAZA UNISEX</t>
  </si>
  <si>
    <t>MS0011116</t>
  </si>
  <si>
    <t>GORRA MAS BASICA OSO PEQUEÑO VERDE PINO UNISEX</t>
  </si>
  <si>
    <t>MS0011127</t>
  </si>
  <si>
    <t>GORRA MAS BASICA OSO PEQUEÑO VERDE TEA UNISEX</t>
  </si>
  <si>
    <t>MS001119</t>
  </si>
  <si>
    <t>GORRA MAS BASICA OSO PEQUEÑO NARANJA UNISEX</t>
  </si>
  <si>
    <t>MS001123</t>
  </si>
  <si>
    <t>GORRA MAS BASICA OSO PEQUEÑO LADRILLO UNISEX</t>
  </si>
  <si>
    <t>MS001128</t>
  </si>
  <si>
    <t>GORRA MAS BASICA OSO PEQUEÑO VERDE MILITAR UNISEX</t>
  </si>
  <si>
    <t>MS001133</t>
  </si>
  <si>
    <t>GORRA MAS BASICA OSO PEQUEÑO CAPUCHINO UNISEX</t>
  </si>
  <si>
    <t>MS001145</t>
  </si>
  <si>
    <t>GORRA MAS BASICA OSO PEQUEÑO NAVY UNISEX</t>
  </si>
  <si>
    <t>MS0011B</t>
  </si>
  <si>
    <t>GORRA MAS BASICA OSO PEQUEÑO BLANCO UNISEX</t>
  </si>
  <si>
    <t>MS0011D</t>
  </si>
  <si>
    <t>GORRA MAS BASICA OSO PEQUEÑO NEGRO UNISEX</t>
  </si>
  <si>
    <t>MS0011F</t>
  </si>
  <si>
    <t>GORRA MAS BASICA OSO PEQUEÑO FUCSIA UNISEX</t>
  </si>
  <si>
    <t>MS0011G</t>
  </si>
  <si>
    <t>GORRA MAS BASICA OSO PEQUEÑO GRIS UNISEX</t>
  </si>
  <si>
    <t>MS0011K</t>
  </si>
  <si>
    <t>GORRA MAS BASICA OSO PEQUEÑO ROSA UNISEX</t>
  </si>
  <si>
    <t>MS0011R</t>
  </si>
  <si>
    <t>GORRA MAS BASICA OSO PEQUEÑO VINO UNISEX</t>
  </si>
  <si>
    <t>MS0011T</t>
  </si>
  <si>
    <t>GORRA MAS BASICA OSO PEQUEÑO PLOMO UNISEX</t>
  </si>
  <si>
    <t>MS0011U</t>
  </si>
  <si>
    <t>GORRA MAS BASICA OSO PEQUEÑO ARENA UNISEX</t>
  </si>
  <si>
    <t>MS0011Z</t>
  </si>
  <si>
    <t>GORRA MAS BASICA OSO MORADO UNISEX</t>
  </si>
  <si>
    <t>MS0012</t>
  </si>
  <si>
    <t>GORRA MAS BASICA OSO GRANDE UNISEX</t>
  </si>
  <si>
    <t>MS0013</t>
  </si>
  <si>
    <t>GORRA MAS BASICA MAS BORDADO GRANDE UNISEX</t>
  </si>
  <si>
    <t>MS0014</t>
  </si>
  <si>
    <t>GORRA MAS BASICA ROSA UNISEX</t>
  </si>
  <si>
    <t>MS0015</t>
  </si>
  <si>
    <t>GORRA MAS BASICA MARGARITA UNISEX</t>
  </si>
  <si>
    <t>MS0016</t>
  </si>
  <si>
    <t>GORRA MAS BASICA SIGNOS CHINOS UNISEX</t>
  </si>
  <si>
    <t>MS0017</t>
  </si>
  <si>
    <t>BUCKET HAT MAS TIE DYE CARA FELIZ UNISEX</t>
  </si>
  <si>
    <t>MS0018</t>
  </si>
  <si>
    <t>BUCKET HAT MAS TIE DYE MARGARITA UNISEX</t>
  </si>
  <si>
    <t>MS0019</t>
  </si>
  <si>
    <t>BUCKET HAT MAS TIE DYE BUHO UNISEX</t>
  </si>
  <si>
    <t>MS001OFF</t>
  </si>
  <si>
    <t>CAMISETA MAS VARIOS MODELOS UNISEX</t>
  </si>
  <si>
    <t>MS0020</t>
  </si>
  <si>
    <t>GORRA MAS BASICA PIÑA UNISEX</t>
  </si>
  <si>
    <t>MS0021</t>
  </si>
  <si>
    <t>GORRA MAS AGAMUZA PIÑA UNISEX</t>
  </si>
  <si>
    <t>MS0022</t>
  </si>
  <si>
    <t>GORRA MAS AGAMUZA OSO PEQUEÑO UNISEX</t>
  </si>
  <si>
    <t>MS0023</t>
  </si>
  <si>
    <t>GORRA MAS AGAMUZA BUHO PEQUEÑO UNISEX</t>
  </si>
  <si>
    <t>MS0024</t>
  </si>
  <si>
    <t>GORRA MAS AGAMUZA SIGNO CHINO UNISEX</t>
  </si>
  <si>
    <t>MS0025</t>
  </si>
  <si>
    <t>GORRA MAS BASICA CARA FELIZ UNISEX</t>
  </si>
  <si>
    <t>MS0026</t>
  </si>
  <si>
    <t>HODDIE MAS BASICA VINO OSO PEQUEÑO UNISEX</t>
  </si>
  <si>
    <t>MS002611</t>
  </si>
  <si>
    <t>HODDIE MAS BASICA OSO PEQUEÑO LILA UNISEX</t>
  </si>
  <si>
    <t>MS0026115</t>
  </si>
  <si>
    <t>HODDIE MAS BASICA OSO PEQUEÑO MARFIL UNISEX</t>
  </si>
  <si>
    <t>MS002612</t>
  </si>
  <si>
    <t>HODDIE MAS BASICA OSO PEQUEÑO MELON UNISEX</t>
  </si>
  <si>
    <t>MS0026122</t>
  </si>
  <si>
    <t>HODDIE MAS BASICA OSO PEQUEÑO VERDE UNIFORME UNISEX</t>
  </si>
  <si>
    <t>MS0026136</t>
  </si>
  <si>
    <t>HODDIE MAS BASICA OSO PEQUEÑO CANELA UNISEX</t>
  </si>
  <si>
    <t>MS002623</t>
  </si>
  <si>
    <t>HODDIE MAS BASICA OSO PEQUEÑO LADRILLO UNISEX</t>
  </si>
  <si>
    <t>MS002633</t>
  </si>
  <si>
    <t>HODDIE MAS BASICA OSO PEQUEÑO CAPUCHINO UNISEX</t>
  </si>
  <si>
    <t>MS002642</t>
  </si>
  <si>
    <t>HODDIE MAS BASICA OSO PEQUEÑO GRIS OSCURO UNISEX</t>
  </si>
  <si>
    <t>MS002645</t>
  </si>
  <si>
    <t>HODDIE MAS BASICA OSO PEQUEÑO NAVY UNISEX</t>
  </si>
  <si>
    <t>MS002692</t>
  </si>
  <si>
    <t>HODDIE MAS BASICA OSO PEQUEÑO VERDE AGUA UNISEX</t>
  </si>
  <si>
    <t>MS002698</t>
  </si>
  <si>
    <t>HODDIE MAS BASICA UVA UNISEX</t>
  </si>
  <si>
    <t>MS0026D</t>
  </si>
  <si>
    <t>HODDIE MAS BASICA OSO PEQUEÑO NEGRO UNISEX</t>
  </si>
  <si>
    <t>MS0026F</t>
  </si>
  <si>
    <t>HODDIE MAS BASICA OSO PEQUEÑO FUCCIA UNISEX</t>
  </si>
  <si>
    <t>MS0026OVS</t>
  </si>
  <si>
    <t>HODDIE MAS BASICA OSO PEQUEÑO OVERSIZE UNISEX</t>
  </si>
  <si>
    <t>MS0026OVS98</t>
  </si>
  <si>
    <t>HODDIE MAS BASICA OSO PEQUEÑO OVERSIZE UVA UNISEX</t>
  </si>
  <si>
    <t>MS0026S</t>
  </si>
  <si>
    <t>HODDIE MAS BASICA BEIGE UNISEX</t>
  </si>
  <si>
    <t>MS0027</t>
  </si>
  <si>
    <t>HODDIE MAS BASICA VERDE OSO PEQUEÑO UNISEX</t>
  </si>
  <si>
    <t>MS0028</t>
  </si>
  <si>
    <t>HODDIE MAS BASICA NEGRA OSO PEQUEÑO UNISEX</t>
  </si>
  <si>
    <t>MS0029</t>
  </si>
  <si>
    <t>HODDIE MAS BASICA VINO LOGO MAS UNISEX</t>
  </si>
  <si>
    <t>MS002OFF</t>
  </si>
  <si>
    <t>BUSO MAS VARIOS MODELOS UNISEX</t>
  </si>
  <si>
    <t>MS0030</t>
  </si>
  <si>
    <t>HODDIE MAS BASICA VERDE LOGO MAS UNISEX</t>
  </si>
  <si>
    <t>MS0031</t>
  </si>
  <si>
    <t>HODDIE MAS BASICA NEGRA LOGO MAS UNISEX</t>
  </si>
  <si>
    <t>MS0032</t>
  </si>
  <si>
    <t>CAMISETA MAS C/REDONDO ROSA ESTAMPADO LUNA UNISEX</t>
  </si>
  <si>
    <t>MS0033</t>
  </si>
  <si>
    <t>CAMISETA MAS C/REDONDO VERDE ESTAMPADO LUNA UNISEX</t>
  </si>
  <si>
    <t>MS0034</t>
  </si>
  <si>
    <t>CAMISETA MAS C/REDONDO GRIS ESTAMPADO LUNA UNISEX</t>
  </si>
  <si>
    <t>MS0035</t>
  </si>
  <si>
    <t>CAMISETA MAS C/REDONDO VINO ESTAMPADO LUNA UNISEX</t>
  </si>
  <si>
    <t>MS0036</t>
  </si>
  <si>
    <t>CAMISETA MAS C/REDONDO NEGRO ESTAMPADO LUNA UNISEX</t>
  </si>
  <si>
    <t>MS0037</t>
  </si>
  <si>
    <t>HODDIE MAS BASICA BLANCO OSO PEQUEÑO UNISEX</t>
  </si>
  <si>
    <t>MS0038</t>
  </si>
  <si>
    <t>HODDIE MAS BASICA ROSA OSO PEQUEÑO UNISEX</t>
  </si>
  <si>
    <t>MS0039</t>
  </si>
  <si>
    <t>CAMISETA MAS C/REDONDO NEGRO ESTAMPADO OSO UNISEX</t>
  </si>
  <si>
    <t>MS0040</t>
  </si>
  <si>
    <t>CAMISETA MAS C/REDONDO GRIS ESTAMPADO OSO UNISEX</t>
  </si>
  <si>
    <t>MS0041</t>
  </si>
  <si>
    <t>CAMISETA MAS C/REDONDO VERDE ESTAMPADO OSO UNISEX</t>
  </si>
  <si>
    <t>MS0041122</t>
  </si>
  <si>
    <t>CAMISETA MAS C/REDONDO VERDE UNIFORME ESTAMPADO OSO UNISEX</t>
  </si>
  <si>
    <t>MS0042</t>
  </si>
  <si>
    <t>CAMISETA MAS C/REDONDO ROSA ESTAMPADO OSO UNISEX</t>
  </si>
  <si>
    <t>MS0043</t>
  </si>
  <si>
    <t>CAMISETA MAS C/REDONDO VINO ESTAMPADO OSO UNISEX</t>
  </si>
  <si>
    <t>MS0044</t>
  </si>
  <si>
    <t>GORRA MAS ESTAMPADA PINOS BASICA</t>
  </si>
  <si>
    <t>MS0045</t>
  </si>
  <si>
    <t>GORRA MAS ESTAMPADA PINOS AGAMUZADA</t>
  </si>
  <si>
    <t>MS0046</t>
  </si>
  <si>
    <t>HODDIE MAS BASICA RELAX ROSADA</t>
  </si>
  <si>
    <t>MS0047</t>
  </si>
  <si>
    <t>HODDIE MAS BASICA RELAX NEGRA</t>
  </si>
  <si>
    <t>MS0048</t>
  </si>
  <si>
    <t>HODDIE MAS BASICA RELAX VINO</t>
  </si>
  <si>
    <t>MS0049</t>
  </si>
  <si>
    <t>HODDIE MAS BASICA FREE YOUR MIND ROSADA</t>
  </si>
  <si>
    <t>MS0050</t>
  </si>
  <si>
    <t>HODDIE MAS BASICA FREE YOUR MIND NEGRA</t>
  </si>
  <si>
    <t>MS0051</t>
  </si>
  <si>
    <t>HODDIE MAS BASICA FREE YOUR MIND VINO</t>
  </si>
  <si>
    <t>MS0052</t>
  </si>
  <si>
    <t>BUCKET HAT MAS ESTAMPADO LUNA UNISEX</t>
  </si>
  <si>
    <t>MS0053</t>
  </si>
  <si>
    <t>BUCKET HAT MAS ESTAMPADO CARAS UNISEX</t>
  </si>
  <si>
    <t>MS0054</t>
  </si>
  <si>
    <t>BUCKET HAT MAS PINOS/AGUACATE CARAS UNISEX</t>
  </si>
  <si>
    <t>MS0055</t>
  </si>
  <si>
    <t>HODDIE MAS BASICA RELAX BLANCA</t>
  </si>
  <si>
    <t>MS0056</t>
  </si>
  <si>
    <t>HODDIE MAS BASICA FREE YOUR MIND BLANCO</t>
  </si>
  <si>
    <t>MS0057</t>
  </si>
  <si>
    <t>HODDIE MAS BASICA RELAX VERDE</t>
  </si>
  <si>
    <t>MS0058</t>
  </si>
  <si>
    <t>HODDIE MAS BASICA FREE YOUR MIND VERDE</t>
  </si>
  <si>
    <t>MS0059</t>
  </si>
  <si>
    <t>Camiseta Estampada</t>
  </si>
  <si>
    <t>MS0060</t>
  </si>
  <si>
    <t>CAMISETA MAS BASICA RELAX VERDE UNISEX</t>
  </si>
  <si>
    <t>MS0061</t>
  </si>
  <si>
    <t>CAMISETA MAS BASICA RELAX GRIS UNISEX</t>
  </si>
  <si>
    <t>MS0062</t>
  </si>
  <si>
    <t>CAMISETA MAS BASICA RELAX ROSA UNISEX</t>
  </si>
  <si>
    <t>MS0063</t>
  </si>
  <si>
    <t>CAMISETA MAS BASICA RELAX NEGRO UNISEX</t>
  </si>
  <si>
    <t>MS0064</t>
  </si>
  <si>
    <t>JOGGER MAS FRANJA LATERALES SLIM NEGRO HOMBRE</t>
  </si>
  <si>
    <t>MS0065</t>
  </si>
  <si>
    <t>JOGGER MAS FRANJA LATERALES SLIM GRIS HOMBRE</t>
  </si>
  <si>
    <t>MS006645</t>
  </si>
  <si>
    <t>JOGGER MAS FRANJA LATERALES AZUL NAVY HOMBRE</t>
  </si>
  <si>
    <t>MS0066G</t>
  </si>
  <si>
    <t>JOGGER MAS FRANJA LATERALES GRIS HOMBRE</t>
  </si>
  <si>
    <t>MS0067</t>
  </si>
  <si>
    <t>JOGGER MAS FRANJA LATERALES NEGRO HOMBRE</t>
  </si>
  <si>
    <t>MS0068</t>
  </si>
  <si>
    <t>JOGGER MAS FRANJA LATERALES VERDE HOMBRE</t>
  </si>
  <si>
    <t>MS0069</t>
  </si>
  <si>
    <t>JOGGER MAS FRANJA LATERALES VINO HOMBRE</t>
  </si>
  <si>
    <t>MS0070</t>
  </si>
  <si>
    <t>BUSO MAS OSO PEQUEÑO NEGRO UNISEX</t>
  </si>
  <si>
    <t>MS0071</t>
  </si>
  <si>
    <t>BUSO MAS OSO PEQUEÑO BLANCO HOMBRE</t>
  </si>
  <si>
    <t>MS0072</t>
  </si>
  <si>
    <t>BUSO MAS OSO PEQUEÑO ROSADO HOMBRE</t>
  </si>
  <si>
    <t>MS0073</t>
  </si>
  <si>
    <t>BUSO MAS OSO PEQUEÑO VERDE HOMBRE</t>
  </si>
  <si>
    <t>MS0074</t>
  </si>
  <si>
    <t>BUSO MAS OSO PEQUEÑO VINO HOMBRE</t>
  </si>
  <si>
    <t>MS0075</t>
  </si>
  <si>
    <t>CAMISETA MAS C/REDONDO BLANCO ESTAMPADO OSO UNISEX</t>
  </si>
  <si>
    <t>MS0076</t>
  </si>
  <si>
    <t>CAMISETA MAS C/REDONDO BLANCO COSTURAS HOMBRE</t>
  </si>
  <si>
    <t>MS00761</t>
  </si>
  <si>
    <t>JOGGER MAS VP0247 AVILA IF BS GABARDINA MOSTAZA UNISEX</t>
  </si>
  <si>
    <t>MS0076117</t>
  </si>
  <si>
    <t>JOGGER MAS VP0247 AVILA IF BS GABARDINA AMBAR UNISEX</t>
  </si>
  <si>
    <t>MS0076118</t>
  </si>
  <si>
    <t>JOGGER MAS VP0247 AVILA IF BS GABARDINA AMARILLO NAPOLITANO UNISEX</t>
  </si>
  <si>
    <t>MS007628</t>
  </si>
  <si>
    <t>JOGGER MAS VP0247 AVILA IF BS GABARDINA VERDE MILITAR UNISEX</t>
  </si>
  <si>
    <t>MS007633</t>
  </si>
  <si>
    <t>JOGGER MAS VP0247 AVILA IF BS GABARDINA CAPUCHINO UNISEX</t>
  </si>
  <si>
    <t>MS007641</t>
  </si>
  <si>
    <t>JOGGER MAS VP0247 AVILA IF BS GABARDINA ROSA UNISEX</t>
  </si>
  <si>
    <t>MS007650</t>
  </si>
  <si>
    <t>JOGGER MAS VP0247 AVILA IF BS GABARDINA DURAZNO UNISEX</t>
  </si>
  <si>
    <t>MS007666</t>
  </si>
  <si>
    <t>JOGGER MAS VP0247 AVILA IF BS GABARDINA UNISEX</t>
  </si>
  <si>
    <t>MS0076C</t>
  </si>
  <si>
    <t>JOGGER MAS VP0247 AVILA IF BS GABARDINA VERDE UNISEX</t>
  </si>
  <si>
    <t>MS0076D</t>
  </si>
  <si>
    <t>JOGGER MAS VP0247 AVILA IF BS GABARDINA NEGRO UNISEX</t>
  </si>
  <si>
    <t>MS0076N</t>
  </si>
  <si>
    <t>JOGGER MAS VP0247 AVILA IF BS GABARDINA AZUL UNISEX</t>
  </si>
  <si>
    <t>MS0077</t>
  </si>
  <si>
    <t>BUSO MAS ROSA C/REDONDO JASPEADO MANGA RANGLAN UNISEX</t>
  </si>
  <si>
    <t>MS0078</t>
  </si>
  <si>
    <t>BUSO MAS GRIS C/REDONDO JASPEADO MANGA RANGLAN UNISEX</t>
  </si>
  <si>
    <t>MS0079</t>
  </si>
  <si>
    <t>BUSO MAS PLOMO C/REDONDO JASPEADO MANGA RANGLAN UNISEX</t>
  </si>
  <si>
    <t>MS0079S</t>
  </si>
  <si>
    <t>BUSO MAS BEIGE C/REDONDO JASPEADO MANGA RANGLAN UNISEX</t>
  </si>
  <si>
    <t>MS0080</t>
  </si>
  <si>
    <t>HODDIE MAS VERDE MILITAR OSO UNISEX</t>
  </si>
  <si>
    <t>MS0081</t>
  </si>
  <si>
    <t>HODDIE MAS CRUDO OSO UNISEX</t>
  </si>
  <si>
    <t>MS0082</t>
  </si>
  <si>
    <t>HODDIE MAS PALO DE ROSA OSO UNISEX</t>
  </si>
  <si>
    <t>MS0083</t>
  </si>
  <si>
    <t>HODDIE MAS AMARILLO OSO UNISEX</t>
  </si>
  <si>
    <t>MS0084</t>
  </si>
  <si>
    <t>HODDIE MAS ARENA OSO UNISEX</t>
  </si>
  <si>
    <t>MS0085</t>
  </si>
  <si>
    <t>HODDIE MAS ROJA OSO UNISEX</t>
  </si>
  <si>
    <t>MS0086</t>
  </si>
  <si>
    <t>HODDIE MAS ROSA JASPEADO OSO UNISEX</t>
  </si>
  <si>
    <t>MS0087</t>
  </si>
  <si>
    <t>HODDIE MAS AZUL METALICO OSO UNISEX</t>
  </si>
  <si>
    <t>MS0088</t>
  </si>
  <si>
    <t>BUSO MAS ROJO OSO UNISEX</t>
  </si>
  <si>
    <t>MS0089</t>
  </si>
  <si>
    <t>BUSO MAS AMARILLO OSO UNISEX</t>
  </si>
  <si>
    <t>MS0090</t>
  </si>
  <si>
    <t>BUSO MAS ROSA JASPEADO OSO UNISEX</t>
  </si>
  <si>
    <t>MS0091</t>
  </si>
  <si>
    <t>BUSO MAS JASPEADO CLARO OSO UNISEX</t>
  </si>
  <si>
    <t>MS0092</t>
  </si>
  <si>
    <t>BUSO MAS RATON OSO UNISEX</t>
  </si>
  <si>
    <t>MS0093</t>
  </si>
  <si>
    <t>BUSO MAS AZUL MARINO OSO UNISEX</t>
  </si>
  <si>
    <t>MS0094</t>
  </si>
  <si>
    <t>JOGGER MAS FLEECE GRIS OSCURO OSO UNISEX</t>
  </si>
  <si>
    <t>MS0095</t>
  </si>
  <si>
    <t>JOGGER MAS FLEECE AZUL MARINO OSO UNISEX</t>
  </si>
  <si>
    <t>MS0096</t>
  </si>
  <si>
    <t>JOGGER MAS FLEECE JASPE CLARO OSO UNISEX</t>
  </si>
  <si>
    <t>MS0097</t>
  </si>
  <si>
    <t>CAMISETA MAS C/REDONDO MARFIL ESTAMPADO OSO UNISEX</t>
  </si>
  <si>
    <t>MS0098</t>
  </si>
  <si>
    <t>CAMISETA MAS C/REDONDO AZUL ACERO ESTAMPADO OSO UNISEX</t>
  </si>
  <si>
    <t>MS0099</t>
  </si>
  <si>
    <t>MS0100</t>
  </si>
  <si>
    <t>MS0101</t>
  </si>
  <si>
    <t>BUSO MAS OSO PEQUEÑO MARFIL HOMBRE</t>
  </si>
  <si>
    <t>MS0102</t>
  </si>
  <si>
    <t>BUSO MAS OSO PEQUEÑO ARENA HOMBRE</t>
  </si>
  <si>
    <t>MS0103</t>
  </si>
  <si>
    <t>BUSO MAS OSO PEQUEÑO VERDE MENTA HOMBRE</t>
  </si>
  <si>
    <t>MS0104</t>
  </si>
  <si>
    <t>HODDIE MAS OSO PEQUEÑO CORTO RIB ARENA MUJER</t>
  </si>
  <si>
    <t>MS0105</t>
  </si>
  <si>
    <t>HODDIE MAS OSO PEQUEÑO CORTO RIB NEGRO MUJER</t>
  </si>
  <si>
    <t>MS0106</t>
  </si>
  <si>
    <t>HODDIE MAS OSO PEQUEÑO CORTO RIB ROSADO MUJER</t>
  </si>
  <si>
    <t>MS0107</t>
  </si>
  <si>
    <t>CAMISETA MAS C/R PRINTS PALMERAS BLANCO HOMBRE</t>
  </si>
  <si>
    <t>MS0108</t>
  </si>
  <si>
    <t>CAMISETA MAS C/R PRINTS PALMERAS AZUL REY HOMBRE</t>
  </si>
  <si>
    <t>MS010843</t>
  </si>
  <si>
    <t>CAMISETA MAS C/R PRINTS PALMERAS ROSA HOMBRE</t>
  </si>
  <si>
    <t>MS0109</t>
  </si>
  <si>
    <t>JOGGER MAS FLEECE JASPE ROSA OSO UNISEX</t>
  </si>
  <si>
    <t>MS0110</t>
  </si>
  <si>
    <t>MS0111</t>
  </si>
  <si>
    <t>BUSO MAS OSO PEQUEÑO SALMON UNISEX</t>
  </si>
  <si>
    <t>MS0112</t>
  </si>
  <si>
    <t>BUSO MAS OSO PEQUEÑO PETROLEO UNISEX</t>
  </si>
  <si>
    <t>MS0113</t>
  </si>
  <si>
    <t>BUSO MAS OSO PEQUEÑO CAFE OSCURO UNISEX</t>
  </si>
  <si>
    <t>MS0114</t>
  </si>
  <si>
    <t>HODDIE MAS BASICA SALMON OSO PEQUEÑO UNISEX</t>
  </si>
  <si>
    <t>MS01145</t>
  </si>
  <si>
    <t>BUSO B&amp;T MS0211 SP BS CUELLO BOTON  NAVY HOMBRE</t>
  </si>
  <si>
    <t>MS0115</t>
  </si>
  <si>
    <t>HODDIE MAS BASICA AZUL MARINO OSO PEQUEÑO UNISEX</t>
  </si>
  <si>
    <t>MS0116</t>
  </si>
  <si>
    <t>CAMISETA MAS C/R PRINTS ROSA HOMBRE</t>
  </si>
  <si>
    <t>MS0117</t>
  </si>
  <si>
    <t>CAMISETA MAS C/R PRINTS CELESTE HOMBRE</t>
  </si>
  <si>
    <t>MS0118</t>
  </si>
  <si>
    <t>CAMISETA MAS C/R PRINTS GRIS HOMBRE</t>
  </si>
  <si>
    <t>MS0119</t>
  </si>
  <si>
    <t>BUSO MAS AZUL C/REDONDO JASPEADO MANGA RANGLAN RIB COMBINADO UNISEX</t>
  </si>
  <si>
    <t>MS011943</t>
  </si>
  <si>
    <t>BUSO MAS C/REDONDO MANGA RANGLAN  ROSA HOMBRE</t>
  </si>
  <si>
    <t>MS011949</t>
  </si>
  <si>
    <t>BUSO MAS C/REDONDO MANGA RANGLAN  JASPE HOMBRE</t>
  </si>
  <si>
    <t>MS0119B</t>
  </si>
  <si>
    <t>BUSO MAS C/REDONDO MANGA RANGLAN  BLANCO HOMBRE</t>
  </si>
  <si>
    <t>MS0119C</t>
  </si>
  <si>
    <t>BUSO MAS C/REDONDO MANGA RANGLAN  VERDE HOMBRE</t>
  </si>
  <si>
    <t>MS0119D</t>
  </si>
  <si>
    <t>BUSO MAS C/REDONDO MANGA RANGLAN  NEGRO HOMBRE</t>
  </si>
  <si>
    <t>MS0119N</t>
  </si>
  <si>
    <t>BUSO MAS C/REDONDO MANGA RANGLAN  AZUL HOMBRE</t>
  </si>
  <si>
    <t>MS0119O</t>
  </si>
  <si>
    <t>BUSO MAS C/REDONDO MANGA RANGLAN  AZUL MARINO HOMBRE</t>
  </si>
  <si>
    <t>MS0119R</t>
  </si>
  <si>
    <t>BUSO MAS C/REDONDO MANGA RANGLAN  VINO HOMBRE</t>
  </si>
  <si>
    <t>MS011D</t>
  </si>
  <si>
    <t>BUSO B&amp;T MS0211 SP BS CUELLO BOTON  NEGRO HOMBRE</t>
  </si>
  <si>
    <t>MS011S</t>
  </si>
  <si>
    <t>BUSO B&amp;T MS0211 SP BS CUELLO BOTON  BEIGE HOMBRE</t>
  </si>
  <si>
    <t>MS0120</t>
  </si>
  <si>
    <t>JOGGER MAS FLEECE NEGRO OSO UNISEX</t>
  </si>
  <si>
    <t>MS0121</t>
  </si>
  <si>
    <t>HODDIE MAS BASICA MENTA OSO UNISEX</t>
  </si>
  <si>
    <t>MS0122</t>
  </si>
  <si>
    <t>HODDIE MAS BASICA OSO AMARILLO BEBE UNISEX</t>
  </si>
  <si>
    <t>MS0123</t>
  </si>
  <si>
    <t>HODDIE MAS BASICA OSO ROSA BEBE UNISEX</t>
  </si>
  <si>
    <t>MS0124</t>
  </si>
  <si>
    <t>HODDIE MAS BASICA OSO VERDE AGUA UNISEX</t>
  </si>
  <si>
    <t>MS0125</t>
  </si>
  <si>
    <t>HODDIE MAS OSO BOLSILLO SOBREPUESTO NEGRO JASPE UNISEX</t>
  </si>
  <si>
    <t>MS01251</t>
  </si>
  <si>
    <t>HODDIE MAS MS0125 SP BS BOLSILLO SOBREPUESTO COLOR ENTERO MOSTAZA UNISEX</t>
  </si>
  <si>
    <t>MS012511</t>
  </si>
  <si>
    <t>HODDIE MAS MS0125 SP BS BOLSILLO SOBREPUESTO COLOR ENTERO LILA UNISEX</t>
  </si>
  <si>
    <t>MS0125115</t>
  </si>
  <si>
    <t>HODDIE MAS MS0125 SP BS BOLSILLO SOBREPUESTO COLOR ENTERO MARFIL UNISEX</t>
  </si>
  <si>
    <t>MS0125122</t>
  </si>
  <si>
    <t>HODDIE MAS MS0125 SP BS BOLSILLO SOBREPUESTO COLOR ENTERO VERDE UNIFORME UNISEX</t>
  </si>
  <si>
    <t>MS0125127</t>
  </si>
  <si>
    <t>HODDIE MAS MS0125 SP BS BOLSILLO SOBREPUESTO COLOR ENTERO VERDE TEA UNISEX</t>
  </si>
  <si>
    <t>MS0125140</t>
  </si>
  <si>
    <t>HODDIE MAS MS0125 SP BS BOLSILLO SOBREPUESTO COLOR ENTERO VERDE PERICO UNISEX</t>
  </si>
  <si>
    <t>MS0125141</t>
  </si>
  <si>
    <t>HODDIE MAS MS0125 SP BS BOLSILLO SOBREPUESTO COLOR ENTERO MANDARINA UNISEX</t>
  </si>
  <si>
    <t>MS012533</t>
  </si>
  <si>
    <t>HODDIE MAS MS0125 SP BS BOLSILLO SOBREPUESTO COLOR ENTERO CAPUCHINO UNISEX</t>
  </si>
  <si>
    <t>MS012545</t>
  </si>
  <si>
    <t>HODDIE MAS MS0125 SP BS BOLSILLO SOBREPUESTO COLOR ENTERO NAVY UNISEX</t>
  </si>
  <si>
    <t>MS012551</t>
  </si>
  <si>
    <t>HODDIE MAS MS0125 SP BS BOLSILLO SOBREPUESTO COLOR ENTERO CELESTE CIELO UNISEX</t>
  </si>
  <si>
    <t>MS012592</t>
  </si>
  <si>
    <t>HODDIE MAS MS0125 SP BS BOLSILLO SOBREPUESTO COLOR ENTERO VERDE AGUA UNISEX</t>
  </si>
  <si>
    <t>MS012598</t>
  </si>
  <si>
    <t>HODDIE MAS MS0125 SP BS BOLSILLO SOBREPUESTO COLOR ENTERO UVA UNISEX</t>
  </si>
  <si>
    <t>MS0125D</t>
  </si>
  <si>
    <t>HODDIE MAS MS0125 SP BS BOLSILLO SOBREPUESTO COLOR ENTERO NEGRO UNISEX</t>
  </si>
  <si>
    <t>MS0125E</t>
  </si>
  <si>
    <t>HODDIE MAS MS0125 SP BS BOLSILLO SOBREPUESTO COLOR ENTERO ROJO UNISEX</t>
  </si>
  <si>
    <t>MS0125F</t>
  </si>
  <si>
    <t>HODDIE MAS MS0125 SP BS BOLSILLO SOBREPUESTO COLOR ENTERO FUCCIA UNISEX</t>
  </si>
  <si>
    <t>MS0125O</t>
  </si>
  <si>
    <t>HODDIE MAS MS0125 SP BS BOLSILLO SOBREPUESTO COLOR ENTERO AZUL MARINO UNISEX</t>
  </si>
  <si>
    <t>MS0125R</t>
  </si>
  <si>
    <t>HODDIE MAS OSO BOLSILLO SOBREPUESTO VINO JASPE UNISEX</t>
  </si>
  <si>
    <t>MS0125S</t>
  </si>
  <si>
    <t>HODDIE MAS MS0125 SP BS BOLSILLO SOBREPUESTO COLOR ENTERO BEIGE UNISEX</t>
  </si>
  <si>
    <t>MS0125U</t>
  </si>
  <si>
    <t>HODDIE MAS MS0125 SP BS BOLSILLO SOBREPUESTO COLOR ENTERO ARENA UNISEX</t>
  </si>
  <si>
    <t>MS0125W</t>
  </si>
  <si>
    <t>HODDIE MAS MS0125 SP BS BOLSILLO SOBREPUESTO COLOR ENTERO TERRACOTA UNISEX</t>
  </si>
  <si>
    <t>MS0126</t>
  </si>
  <si>
    <t>HODDIE MAS OSO BOLSILLO SOBREPUESTO VERDE MILITAR JASPE UNISEX</t>
  </si>
  <si>
    <t>MS0127</t>
  </si>
  <si>
    <t>JACKET MAS SP BM UNIVERSITARIO NEGRO HOMBRE</t>
  </si>
  <si>
    <t>MS0127115</t>
  </si>
  <si>
    <t>BUSO MAS MS0127 SP BS CON CUELLO DOS BOTONES BOLSILLO FALSO MARFIL HOMBRE</t>
  </si>
  <si>
    <t>MS0127D</t>
  </si>
  <si>
    <t>BUSO MAS MS0127 SP BS CON CUELLO DOS BOTONES BOLSILLO FALSO NEGRO HOMBRE</t>
  </si>
  <si>
    <t>MS0127S</t>
  </si>
  <si>
    <t>BUSO MAS MS0127 SP BS CON CUELLO DOS BOTONES BOLSILLO FALSO BEIGE HOMBRE</t>
  </si>
  <si>
    <t>MS0128</t>
  </si>
  <si>
    <t>JACKET MAS SP BM UNIVERSITARIO GRIS HOMBRE</t>
  </si>
  <si>
    <t>MS0129</t>
  </si>
  <si>
    <t>BUSO MAS SP BM C/REDONDO AZUL ASTRONAUTA UNISEX</t>
  </si>
  <si>
    <t>MS0130</t>
  </si>
  <si>
    <t>BUSO MAS SP BM C/REDONDO ROJO ASTRONAUTA UNISEX</t>
  </si>
  <si>
    <t>MS0131</t>
  </si>
  <si>
    <t>BUSO MAS SP BM C/REDONDO AMARILLO ASTRONAUTA UNISEX</t>
  </si>
  <si>
    <t>MS0132</t>
  </si>
  <si>
    <t>BUSO MAS SP BM C/REDONDO ARENA ASTRONAUTA UNISEX</t>
  </si>
  <si>
    <t>MS0133</t>
  </si>
  <si>
    <t>BUSO MAS SP BM C/REDONDO ROJO MELANIN UNISEX</t>
  </si>
  <si>
    <t>MS0134</t>
  </si>
  <si>
    <t>BUSO MAS SP BM C/REDONDO AMARILLO MELANIN UNISEX</t>
  </si>
  <si>
    <t>MS0136</t>
  </si>
  <si>
    <t>BUSO MAS SP BM C/REDONDO AMARILLO CARA UNISEX</t>
  </si>
  <si>
    <t>MS0137</t>
  </si>
  <si>
    <t>BUSO MAS SP BM C/REDONDO ARENA CARA UNISEX</t>
  </si>
  <si>
    <t>MS0138</t>
  </si>
  <si>
    <t>HODDIE MAS ASTRONAUTA NEGRO UNISEX</t>
  </si>
  <si>
    <t>MS0139</t>
  </si>
  <si>
    <t>HODDIE MAS ASTRONAUTA AMARILLO UNISEX</t>
  </si>
  <si>
    <t>MS0140</t>
  </si>
  <si>
    <t>HODDIE MAS ASTRONAUTA AQUA UNISEX</t>
  </si>
  <si>
    <t>MS0141</t>
  </si>
  <si>
    <t>HODDIE MAS MELANINE NEGRO UNISEX</t>
  </si>
  <si>
    <t>MS0142</t>
  </si>
  <si>
    <t>HODDIE MAS MELANINE AZUL UNISEX</t>
  </si>
  <si>
    <t>MS0143</t>
  </si>
  <si>
    <t>BUSO MAS SP BM C/REDONDO NEGRO ASTRONAUTA UNISEX</t>
  </si>
  <si>
    <t>MS0144</t>
  </si>
  <si>
    <t>BUSO MAS OSO PEQUEÑO VERDE ACEITUNA HOMBRE</t>
  </si>
  <si>
    <t>MS0145</t>
  </si>
  <si>
    <t>CAMISETA MAS C/REDONDO BEIGE ESTAMPADO OSO MELANIN UNISEX</t>
  </si>
  <si>
    <t>MS0146115</t>
  </si>
  <si>
    <t>CAMISETA MAS C/R DOMELLA OSO PECHO MARFIL HOMBRE</t>
  </si>
  <si>
    <t>MS01463</t>
  </si>
  <si>
    <t>CAMISETA MAS C/R DOMELLA OSO PECHO MENTA HOMBRE</t>
  </si>
  <si>
    <t>MS014641</t>
  </si>
  <si>
    <t>CAMISETA MAS C/R DOMELLA OSO PECHO ROSA TOSTADO HOMBRE</t>
  </si>
  <si>
    <t>MS014645</t>
  </si>
  <si>
    <t>CAMISETA MAS C/R DOMELLA OSO PECHO NAVY HOMBRE</t>
  </si>
  <si>
    <t>MS014651</t>
  </si>
  <si>
    <t>CAMISETA MAS C/R DOMELLA OSO PECHO CIELO HOMBRE</t>
  </si>
  <si>
    <t>MS014667</t>
  </si>
  <si>
    <t>CAMISETA MAS C/R DOMELLA OSO PECHO AMARILLO BEBE HOMBRE</t>
  </si>
  <si>
    <t>MS014693</t>
  </si>
  <si>
    <t>CAMISETA MAS C/R DOMELLA OSO PECHO EUCALIPTO HOMBRE</t>
  </si>
  <si>
    <t>MS0146D</t>
  </si>
  <si>
    <t>CAMISETA MAS C/R DOMELLA OSO PECHO NEGRO HOMBRE</t>
  </si>
  <si>
    <t>MS0146E</t>
  </si>
  <si>
    <t>CAMISETA MAS C/R DOMELLA OSO PECHO ROJO HOMBRE</t>
  </si>
  <si>
    <t>MS0146O</t>
  </si>
  <si>
    <t>CAMISETA MAS C/R DOMELLA OSO PECHO AZUL MARINO HOMBRE</t>
  </si>
  <si>
    <t>MS0146U</t>
  </si>
  <si>
    <t>CAMISETA MAS C/R DOMELLA OSO PECHO ARENA HOMBRE</t>
  </si>
  <si>
    <t>MS014716</t>
  </si>
  <si>
    <t>CAMISETA MAS C/R ESTAMPADO ASTRONAUTA SALMON MUJER</t>
  </si>
  <si>
    <t>MS0147D</t>
  </si>
  <si>
    <t>CAMISETA MAS C/R ESTAMPADO ASTRONAUTA NEGRO MUJER</t>
  </si>
  <si>
    <t>MS0147R</t>
  </si>
  <si>
    <t>CAMISETA MAS C/R ESTAMPADO ASTRONAUTA VINO MUJER</t>
  </si>
  <si>
    <t>MS0147U</t>
  </si>
  <si>
    <t>CAMISETA MAS C/R ESTAMPADO ASTRONAUTA ARENA MUJER</t>
  </si>
  <si>
    <t>MS0148</t>
  </si>
  <si>
    <t>HODDIE MAS OSO PEQUEÑO CORTO RIB LILA MUJER</t>
  </si>
  <si>
    <t>MS0149</t>
  </si>
  <si>
    <t>HODDIE MAS OSO PEQUEÑO CORTO RIB EUCALIPTO MUJER</t>
  </si>
  <si>
    <t>MS015011</t>
  </si>
  <si>
    <t>HODDIE MAS ASTRONAUTA LILA UNISEX</t>
  </si>
  <si>
    <t>MS0150B</t>
  </si>
  <si>
    <t>HODDIE MAS ASTRONAUTA BLANCO UNISEX</t>
  </si>
  <si>
    <t>MS0150E</t>
  </si>
  <si>
    <t>HODDIE MAS ASTRONAUTA ROJO UNISEX</t>
  </si>
  <si>
    <t>MS0150O</t>
  </si>
  <si>
    <t>HODDIE MAS ASTRONAUTA AZUL MARINO UNISEX</t>
  </si>
  <si>
    <t>MS015111</t>
  </si>
  <si>
    <t>HODDIE MAS CARAS LILA UNISEX</t>
  </si>
  <si>
    <t>MS0151B</t>
  </si>
  <si>
    <t>HODDIE MAS CARAS BLANCA UNISEX</t>
  </si>
  <si>
    <t>MS0151D</t>
  </si>
  <si>
    <t>HODDIE MAS CARAS NEGRO UNISEX</t>
  </si>
  <si>
    <t>MS0151O</t>
  </si>
  <si>
    <t>HODDIE MAS CARAS AZUL MARINO UNISEX</t>
  </si>
  <si>
    <t>MS015211</t>
  </si>
  <si>
    <t>HODDIE MAS MELANINE LILA UNISEX</t>
  </si>
  <si>
    <t>MS0152E</t>
  </si>
  <si>
    <t>HODDIE MAS MELANINE ROJO UNISEX</t>
  </si>
  <si>
    <t>MS0153R</t>
  </si>
  <si>
    <t>BUSO MAS VINO C/REDONDO JASPEADO MANGA RANGLAN UNISEX</t>
  </si>
  <si>
    <t>MS0153U</t>
  </si>
  <si>
    <t>BUSO MAS ARENA C/REDONDO JASPEADO MANGA RANGLAN UNISEX</t>
  </si>
  <si>
    <t>MS0154115</t>
  </si>
  <si>
    <t>BUSO MAS SP BM C/REDONDO MANGA RANGLAN MARFIL CARA UNISEX</t>
  </si>
  <si>
    <t>MS0154B</t>
  </si>
  <si>
    <t>BUSO MAS SP BM C/REDONDO MANGA RANGLAN BLANCO CARA UNISEX</t>
  </si>
  <si>
    <t>MS0154O</t>
  </si>
  <si>
    <t>BUSO MAS SP BM C/REDONDO MANGA RANGLAN AZUL MARINO CARA UNISEX</t>
  </si>
  <si>
    <t>MS0155115</t>
  </si>
  <si>
    <t>BUSO MAS SP BM C/REDONDO MELANIN MANGA RANGLAN MARFIL UNISEX</t>
  </si>
  <si>
    <t>MS015528</t>
  </si>
  <si>
    <t>BUSO MAS SP BM C/REDONDO MANGA RANGLAN MELANIN VERDE MILITAR UNISEX</t>
  </si>
  <si>
    <t>MS015545</t>
  </si>
  <si>
    <t>BUSO MAS SP BM C/REDONDO MELANIN MANGA RANGLAN NAVY UNISEX</t>
  </si>
  <si>
    <t>MS015596</t>
  </si>
  <si>
    <t>BUSO MAS SP BM C/REDONDO MELANIN MANGA RANGLAN PETROLEO UNISEX</t>
  </si>
  <si>
    <t>MS0155D</t>
  </si>
  <si>
    <t>BUSO MAS SP BM C/REDONDO MANGA RANGLAN MELANIN NEGRO UNISEX</t>
  </si>
  <si>
    <t>MS0155U</t>
  </si>
  <si>
    <t>BUSO MAS SP BM C/REDONDO MELANIN MANGA RANGLAN ARENA UNISEX</t>
  </si>
  <si>
    <t>MS0156101</t>
  </si>
  <si>
    <t>BUSO MAS SP BM C/REDONDO MANGA RANGLAN ASTRONAUTA HUESO UNISEX</t>
  </si>
  <si>
    <t>MS015611</t>
  </si>
  <si>
    <t>BUSO MAS SP BM C/REDONDO MANGA RANGLAN ASTRONAUTA LILA UNISEX</t>
  </si>
  <si>
    <t>MS015613</t>
  </si>
  <si>
    <t>BUSO MAS SP BM C/REDONDO MANGA RANGLAN ASTRONAUTA ROSA UNISEX</t>
  </si>
  <si>
    <t>MS015628</t>
  </si>
  <si>
    <t>BUSO MAS SP BM C/REDONDO MANGA RANGLAN ASTRONAUTA VERDE MILITAR UNISEX</t>
  </si>
  <si>
    <t>MS015645</t>
  </si>
  <si>
    <t>BUSO MAS SP BM C/REDONDO MANGA RANGLAN ASTRONAUTA NAVY UNISEX</t>
  </si>
  <si>
    <t>MS015692</t>
  </si>
  <si>
    <t>BUSO MAS SP BM C/REDONDO MANGA RANGLAN ASTRONAUTA VERDE UNISEX</t>
  </si>
  <si>
    <t>MS0156B</t>
  </si>
  <si>
    <t>BUSO MAS SP BM C/REDONDO MANGA RANGLAN ASTRONAUTA BLANCO UNISEX</t>
  </si>
  <si>
    <t>MS0156E</t>
  </si>
  <si>
    <t>BUSO MAS SP BM C/REDONDO MANGA RANGLAN ASTRONAUTA ROJO UNISEX</t>
  </si>
  <si>
    <t>MS0156G</t>
  </si>
  <si>
    <t>BUSO MAS SP BM C/REDONDO MANGA RANGLAN ASTRONAUTA GRIS UNISEX</t>
  </si>
  <si>
    <t>MS0157</t>
  </si>
  <si>
    <t>BUSO MAS SP BM C/REDONDO MANGA RANGLAN NAVIDAD UNISEX</t>
  </si>
  <si>
    <t>MS01571</t>
  </si>
  <si>
    <t>BUSO MAS SP BM C/REDONDO MANGA RANGLAN NAVIDAD MOSTAZA UNISEX</t>
  </si>
  <si>
    <t>MS015743</t>
  </si>
  <si>
    <t>BUSO MAS SP BM C/REDONDO MANGA RANGLAN NAVIDAD ROSA UNISEX</t>
  </si>
  <si>
    <t>MS0157D</t>
  </si>
  <si>
    <t>BUSO MAS SP BM C/REDONDO MANGA RANGLAN NAVIDAD NEGRO UNISEX</t>
  </si>
  <si>
    <t>MS0157E</t>
  </si>
  <si>
    <t>BUSO MAS SP BM C/REDONDO MANGA RANGLAN NAVIDAD ROJO UNISEX</t>
  </si>
  <si>
    <t>MS0157G</t>
  </si>
  <si>
    <t>BUSO MAS SP BM C/REDONDO MANGA RANGLAN NAVIDAD GRIS UNISEX</t>
  </si>
  <si>
    <t>MS0157O</t>
  </si>
  <si>
    <t>BUSO MAS SP BM C/REDONDO MANGA RANGLAN NAVIDAD AZUL UNISEX</t>
  </si>
  <si>
    <t>MS0157Q</t>
  </si>
  <si>
    <t>BUSO MAS SP BM C/REDONDO MANGA RANGLAN NAVIDAD VERDE UNISEX</t>
  </si>
  <si>
    <t>MS0157S</t>
  </si>
  <si>
    <t>BUSO MAS SP BM C/REDONDO MANGA RANGLAN NAVIDAD BEIGE UNISEX</t>
  </si>
  <si>
    <t>MS0158</t>
  </si>
  <si>
    <t>HODDIE MAS SP BM COMBINADO DOS COLORES UNISEX</t>
  </si>
  <si>
    <t>MS0159</t>
  </si>
  <si>
    <t>JOGGER MAS FLEECE ARENA OSO UNISEX</t>
  </si>
  <si>
    <t>MS016028</t>
  </si>
  <si>
    <t>HODDIE MAS SP BM CAPUCHA ASTRONAUTA VERDE MILITAR UNISEX</t>
  </si>
  <si>
    <t>MS0160C</t>
  </si>
  <si>
    <t>HODDIE MAS SP BM CAPUCHA ASTRONAUTA VERDE UNISEX</t>
  </si>
  <si>
    <t>MS0160D</t>
  </si>
  <si>
    <t>HODDIE MAS SP BM CAPUCHA ASTRONAUTA NEGRO UNISEX</t>
  </si>
  <si>
    <t>MS0160E</t>
  </si>
  <si>
    <t>HODDIE MAS SP BM CAPUCHA ASTRONAUTA ROJO UNISEX</t>
  </si>
  <si>
    <t>MS0160K</t>
  </si>
  <si>
    <t>HODDIE MAS SP BM CAPUCHA ASTRONAUTA ROSADO UNISEX</t>
  </si>
  <si>
    <t>MS0160U</t>
  </si>
  <si>
    <t>HODDIE MAS SP BM CAPUCHA ASTRONAUTA ARENA UNISEX</t>
  </si>
  <si>
    <t>MS016128</t>
  </si>
  <si>
    <t>HODDIE MAS SP BM CAPUCHA MELANIN VERDE MILITAR UNISEX</t>
  </si>
  <si>
    <t>MS0161D</t>
  </si>
  <si>
    <t>HODDIE MAS SP BM CAPUCHA MELANIN NEGRO UNISEX</t>
  </si>
  <si>
    <t>MS0161U</t>
  </si>
  <si>
    <t>HODDIE MAS SP BM CAPUCHA MELANIN ARENA UNISEX</t>
  </si>
  <si>
    <t>MS016243</t>
  </si>
  <si>
    <t>JOGGER MAS FLEECE ROSA OSO UNISEX</t>
  </si>
  <si>
    <t>MS01633</t>
  </si>
  <si>
    <t>CAMISETA MAS C/R DOMELLA COLOR ENTERO VERDE HOMBRE</t>
  </si>
  <si>
    <t>MS016341</t>
  </si>
  <si>
    <t>CAMISETA MAS C/R DOMELLA COLOR ENTERO ROSA TOSTADO HOMBRE</t>
  </si>
  <si>
    <t>MS016345</t>
  </si>
  <si>
    <t>CAMISETA MAS C/R DOMELLA COLOR ENTERO NAVY HOMBRE</t>
  </si>
  <si>
    <t>MS016393</t>
  </si>
  <si>
    <t>CAMISETA MAS C/R DOMELLA COLOR ENTERO EUCALIPTO HOMBRE</t>
  </si>
  <si>
    <t>MS0163D</t>
  </si>
  <si>
    <t>CAMISETA MAS C/R DOMELLA COLOR ENTERO NEGRO HOMBRE</t>
  </si>
  <si>
    <t>MS0163E</t>
  </si>
  <si>
    <t>CAMISETA MAS C/R DOMELLA COLOR ENTERO ROJO HOMBRE</t>
  </si>
  <si>
    <t>MS0163O</t>
  </si>
  <si>
    <t>CAMISETA MAS C/R DOMELLA COLOR ENTERO AZUL MARINO HOMBRE</t>
  </si>
  <si>
    <t>MS0163U</t>
  </si>
  <si>
    <t>CAMISETA MAS C/R DOMELLA COLOR ENTERO ARENA HOMBRE</t>
  </si>
  <si>
    <t>MS01641</t>
  </si>
  <si>
    <t>CAMISETA MAS MS0164 SP BS C/R COLOR ENTERO MOSTAZA HOMBRE</t>
  </si>
  <si>
    <t>MS0164115</t>
  </si>
  <si>
    <t>CAMISETA BEAR &amp; TREND MS0164 SP BS C/R COLOR ENTERO  MARFIL HOMBRE</t>
  </si>
  <si>
    <t>MS0164118</t>
  </si>
  <si>
    <t>CAMISETA MAS C/R COLOR ENTERO AMARILLO NAPOLITANO HOMBRE</t>
  </si>
  <si>
    <t>MS0164119</t>
  </si>
  <si>
    <t>CAMISETA BEAR &amp; TREND MS0164 SP BS C/R COLOR ENTERO  PIEL HOMBRE</t>
  </si>
  <si>
    <t>MS0164122</t>
  </si>
  <si>
    <t>CAMISETA MAS MS0164 SP BS C/R COLOR ENTERO VERDE UNIFORME HOMBRE</t>
  </si>
  <si>
    <t>MS0164125</t>
  </si>
  <si>
    <t>CAMISETA MAS C/R COLOR ENTERO LAUREL HOMBRE</t>
  </si>
  <si>
    <t>MS0164127</t>
  </si>
  <si>
    <t>CAMISETA MAS MS0164 SP BS C/R COLOR ENTERO VERDE TEA HOMBRE</t>
  </si>
  <si>
    <t>MS0164140</t>
  </si>
  <si>
    <t>CAMISETA MAS C/R COLOR ENTERO VERDE PERICO HOMBRE</t>
  </si>
  <si>
    <t>MS016418</t>
  </si>
  <si>
    <t>CAMISETA MAS C/R COLOR ENTERO CREMA HOMBRE</t>
  </si>
  <si>
    <t>MS016419</t>
  </si>
  <si>
    <t>CAMISETA MAS C/R COLOR ENTERO NARANJA HOMBRE</t>
  </si>
  <si>
    <t>MS016425</t>
  </si>
  <si>
    <t>CAMISETA BEAR &amp; TREND MS0164 SP BS C/R COLOR ENTERO  TEAL HOMBRE</t>
  </si>
  <si>
    <t>MS016428</t>
  </si>
  <si>
    <t>CAMISETA BEAR &amp; TREND MS0164 SP BS C/R COLOR ENTERO  VERDE MILITAR HOMBRE</t>
  </si>
  <si>
    <t>MS016429</t>
  </si>
  <si>
    <t>CAMISETA MAS C/R COLOR ENTERO AZUL PETROLEO HOMBRE</t>
  </si>
  <si>
    <t>MS016433</t>
  </si>
  <si>
    <t>CAMISETA MAS C/R COLOR ENTERO CAPUCHINO HOMBRE</t>
  </si>
  <si>
    <t>MS016443</t>
  </si>
  <si>
    <t>CAMISETA MAS MS0164 SP BS C/R COLOR ENTERO ROSA HOMBRE</t>
  </si>
  <si>
    <t>MS016445</t>
  </si>
  <si>
    <t>CAMISETA MAS MS0164 SP BS C/R COLOR ENTERO NAVY HOMBRE</t>
  </si>
  <si>
    <t>MS016458</t>
  </si>
  <si>
    <t>CAMISETA MAS C/R COLOR ENTERO ROJO CLARO HOMBRE</t>
  </si>
  <si>
    <t>MS016463</t>
  </si>
  <si>
    <t>CAMISETA MAS C/R COLOR ENTERO ROSA BEBE HOMBRE</t>
  </si>
  <si>
    <t>MS0164A</t>
  </si>
  <si>
    <t>CAMISETA MAS MS0164 SP BS C/R COLOR ENTERO AMARILLO HOMBRE</t>
  </si>
  <si>
    <t>MS0164B</t>
  </si>
  <si>
    <t>CAMISETA MAS C/R COLOR ENTERO BLANCO HOMBRE</t>
  </si>
  <si>
    <t>MS0164D</t>
  </si>
  <si>
    <t>CAMISETA BEAR &amp; TREND MS0164 SP BS C/R COLOR ENTERO  NEGRO HOMBRE</t>
  </si>
  <si>
    <t>MS0164E</t>
  </si>
  <si>
    <t>CAMISETA MAS C/R COLOR ENTERO ROJO HOMBRE</t>
  </si>
  <si>
    <t>MS0164G</t>
  </si>
  <si>
    <t>CAMISETA MAS C/R COLOR ENTERO GRIS HOMBRE</t>
  </si>
  <si>
    <t>MS0164K</t>
  </si>
  <si>
    <t>CAMISETA MAS MS0164 C/R COLOR ENTERO ROSADO HOMBRE</t>
  </si>
  <si>
    <t>MS0164L</t>
  </si>
  <si>
    <t>CAMISETA MAS C/R COLOR ENTERO TOMATE HOMBRE</t>
  </si>
  <si>
    <t>MS0164R</t>
  </si>
  <si>
    <t>CAMISETA MAS C/R COLOR ENTERO VINO HOMBRE</t>
  </si>
  <si>
    <t>MS0164S</t>
  </si>
  <si>
    <t>CAMISETA MAS C/R COLOR ENTERO BEIGE HOMBRE</t>
  </si>
  <si>
    <t>MS0164U</t>
  </si>
  <si>
    <t>CAMISETA MAS MS0164 SP BS C/R COLOR ENTERO ARENA HOMBRE</t>
  </si>
  <si>
    <t>MS0164X</t>
  </si>
  <si>
    <t>CAMISETA BEAR &amp; TREND MS0164 SP BS C/R COLOR ENTERO CAMEL HOMBRE</t>
  </si>
  <si>
    <t>MS016553</t>
  </si>
  <si>
    <t>BUSO MAS C/R MANGA RANGLAN ESTAMPADO OSO AZUL JASPE HOMBRE</t>
  </si>
  <si>
    <t>MS0165G</t>
  </si>
  <si>
    <t>BUSO MAS C/R MANGA RANGLAN ESTAMPADO OSO GRIS JASPE HOMBRE</t>
  </si>
  <si>
    <t>MS0165R</t>
  </si>
  <si>
    <t>BUSO MAS C/R MANGA RANGLAN ESTAMPADO VINO HOMBRE</t>
  </si>
  <si>
    <t>MS0165U</t>
  </si>
  <si>
    <t>BUSO MAS C/R MANGA RANGLAN ESTAMPADO OSO ARENA JASPE HOMBRE</t>
  </si>
  <si>
    <t>MS016643</t>
  </si>
  <si>
    <t>CAMISETA MAS C/R DOMELLA FRANJAS HORIZONTALES ROSA HOMBRE</t>
  </si>
  <si>
    <t>MS016645</t>
  </si>
  <si>
    <t>CAMISETA MAS C/R DOMELLA FRANJAS HORIZONTALES NAVY HOMBRE</t>
  </si>
  <si>
    <t>MS0166D</t>
  </si>
  <si>
    <t>CAMISETA MAS C/R DOMELLA FRANJAS HORIZONTALES NEGRO HOMBRE</t>
  </si>
  <si>
    <t>MS01671</t>
  </si>
  <si>
    <t>HODDIE MAS MS0167 OSO SP BS BOLSILLO SOBREPUESTO MOSTAZA UNISEX</t>
  </si>
  <si>
    <t>MS0167115</t>
  </si>
  <si>
    <t>HODDIE MAS MS0167 OSO SP BS BOLSILLO SOBREPUESTO MARFIL UNISEX</t>
  </si>
  <si>
    <t>MS016714</t>
  </si>
  <si>
    <t>HODDIE MAS MS0167 OSO SP BS BOLSILLO SOBREPUESTO VERDE OLIVA UNISEX</t>
  </si>
  <si>
    <t>MS016719</t>
  </si>
  <si>
    <t>HODDIE MAS MS0167 OSO SP BS BOLSILLO SOBREPUESTO NARANJA UNISEX</t>
  </si>
  <si>
    <t>MS016723</t>
  </si>
  <si>
    <t>HODDIE MAS MS0167 OSO SP BS BOLSILLO SOBREPUESTO LADRILLO UNISEX</t>
  </si>
  <si>
    <t>MS016733</t>
  </si>
  <si>
    <t>HODDIE MAS MS0167 OSO SP BS BOLSILLO SOBREPUESTO CAPUCHINO UNISEX</t>
  </si>
  <si>
    <t>MS016754</t>
  </si>
  <si>
    <t>HODDIE MAS MS0167 OSO SP BS BOLSILLO SOBREPUESTO MARRON UNISEX</t>
  </si>
  <si>
    <t>MS016760</t>
  </si>
  <si>
    <t>HODDIE MAS MS0167 OSO SP BS BOLSILLO SOBREPUESTO VERDE BOTELLA UNISEX</t>
  </si>
  <si>
    <t>MS016792</t>
  </si>
  <si>
    <t>HODDIE MAS MS0167 OSO SP BS BOLSILLO SOBREPUESTO VERDE AGUA UNISEX</t>
  </si>
  <si>
    <t>MS0167B</t>
  </si>
  <si>
    <t>HODDIE MAS MS0167 OSO SP BS BOLSILLO SOBREPUESTO BLANCO UNISEX</t>
  </si>
  <si>
    <t>MS0167D</t>
  </si>
  <si>
    <t>HODDIE MAS MS0167 OSO SP BS BOLSILLO SOBREPUESTO NEGRO UNISEX</t>
  </si>
  <si>
    <t>MS0167E</t>
  </si>
  <si>
    <t>HODDIE MAS MS0167 OSO SP BS BOLSILLO SOBREPUESTO ROJO UNISEX</t>
  </si>
  <si>
    <t>MS0167G</t>
  </si>
  <si>
    <t>HODDIE MAS MS0167 OSO SP BS BOLSILLO SOBREPUESTO GRIS UNISEX</t>
  </si>
  <si>
    <t>MS0167O</t>
  </si>
  <si>
    <t>HODDIE MAS MS0167 OSO SP BS BOLSILLO SOBREPUESTO AZUL MARINO UNISEX</t>
  </si>
  <si>
    <t>MS0167S</t>
  </si>
  <si>
    <t>HODDIE MAS MS0167 OSO SP BS BOLSILLO SOBREPUESTO BEIGE UNISEX</t>
  </si>
  <si>
    <t>MS0167Y</t>
  </si>
  <si>
    <t>HODDIE MAS MS0167 OSO SP BS BOLSILLO SOBREPUESTO CORAL INTENSO UNISEX</t>
  </si>
  <si>
    <t>MS0168101</t>
  </si>
  <si>
    <t>HODDIE MAS MS0168 SP BS BOLSILLO SOBREPUESTO COLOR ENTERO HUESO UNISEX</t>
  </si>
  <si>
    <t>MS016811</t>
  </si>
  <si>
    <t>HODDIE MAS MS0168 SP BS BOLSILLO SOBREPUESTO COLOR ENTERO LILA UNISEX</t>
  </si>
  <si>
    <t>MS0168115</t>
  </si>
  <si>
    <t>HODDIE MAS MS0168 SP BS BOLSILLO SOBREPUESTO MARFIL UNISEX</t>
  </si>
  <si>
    <t>MS016812</t>
  </si>
  <si>
    <t>HODDIE MAS MS0168 SP BS BOLSILLO SOBREPUESTO MELON UNISEX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</si>
</sst>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14" fontId="1" fillId="2" borderId="1" xfId="0" applyNumberFormat="1" applyFont="1" applyFill="1" applyBorder="1" applyAlignment="1" applyProtection="1">
      <alignment horizontal="center" vertical="center"/>
      <protection locked="0"/>
    </xf>
    <xf numFmtId="4" fontId="1" fillId="2" borderId="2" xfId="0" applyNumberFormat="1" applyFont="1" applyFill="1" applyBorder="1" applyAlignment="1" applyProtection="1">
      <alignment horizontal="center" vertical="center"/>
      <protection locked="0"/>
    </xf>
    <xf numFmtId="2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4" fontId="1" fillId="2" borderId="1" xfId="0" applyNumberFormat="1" applyFont="1" applyFill="1" applyBorder="1" applyAlignment="1" applyProtection="1">
      <alignment horizontal="center" vertical="center" wrapText="1"/>
      <protection locked="0" hidden="1"/>
    </xf>
    <xf numFmtId="4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4" fontId="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 applyProtection="1">
      <alignment horizontal="center"/>
      <protection hidden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" fontId="0" fillId="0" borderId="0" xfId="0" applyNumberFormat="1" applyAlignment="1" applyProtection="1">
      <alignment horizontal="center"/>
      <protection hidden="1"/>
    </xf>
    <xf numFmtId="4" fontId="0" fillId="0" borderId="0" xfId="0" applyNumberFormat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4" fontId="1" fillId="2" borderId="5" xfId="0" applyNumberFormat="1" applyFont="1" applyFill="1" applyBorder="1" applyProtection="1">
      <protection locked="0"/>
    </xf>
    <xf numFmtId="4" fontId="1" fillId="2" borderId="2" xfId="0" applyNumberFormat="1" applyFont="1" applyFill="1" applyBorder="1" applyProtection="1">
      <protection locked="0"/>
    </xf>
    <xf numFmtId="2" fontId="1" fillId="2" borderId="1" xfId="0" applyNumberFormat="1" applyFont="1" applyFill="1" applyBorder="1" applyProtection="1">
      <protection locked="0"/>
    </xf>
    <xf numFmtId="4" fontId="1" fillId="2" borderId="1" xfId="0" applyNumberFormat="1" applyFont="1" applyFill="1" applyBorder="1" applyProtection="1">
      <protection locked="0"/>
    </xf>
    <xf numFmtId="4" fontId="1" fillId="2" borderId="1" xfId="0" applyNumberFormat="1" applyFont="1" applyFill="1" applyBorder="1"/>
    <xf numFmtId="2" fontId="1" fillId="3" borderId="1" xfId="0" applyNumberFormat="1" applyFont="1" applyFill="1" applyBorder="1" applyProtection="1">
      <protection locked="0"/>
    </xf>
    <xf numFmtId="4" fontId="1" fillId="3" borderId="1" xfId="0" applyNumberFormat="1" applyFont="1" applyFill="1" applyBorder="1" applyProtection="1">
      <protection locked="0"/>
    </xf>
    <xf numFmtId="4" fontId="1" fillId="3" borderId="1" xfId="0" applyNumberFormat="1" applyFont="1" applyFill="1" applyBorder="1"/>
    <xf numFmtId="2" fontId="1" fillId="5" borderId="1" xfId="0" applyNumberFormat="1" applyFont="1" applyFill="1" applyBorder="1" applyProtection="1">
      <protection locked="0"/>
    </xf>
    <xf numFmtId="4" fontId="1" fillId="5" borderId="1" xfId="0" applyNumberFormat="1" applyFont="1" applyFill="1" applyBorder="1" applyProtection="1">
      <protection locked="0"/>
    </xf>
    <xf numFmtId="4" fontId="1" fillId="5" borderId="1" xfId="0" applyNumberFormat="1" applyFont="1" applyFill="1" applyBorder="1"/>
    <xf numFmtId="1" fontId="1" fillId="3" borderId="1" xfId="0" applyNumberFormat="1" applyFont="1" applyFill="1" applyBorder="1" applyAlignment="1" applyProtection="1">
      <alignment horizontal="center"/>
      <protection locked="0"/>
    </xf>
    <xf numFmtId="1" fontId="1" fillId="3" borderId="1" xfId="0" applyNumberFormat="1" applyFont="1" applyFill="1" applyBorder="1" applyAlignment="1">
      <alignment horizontal="center"/>
    </xf>
    <xf numFmtId="0" fontId="2" fillId="0" borderId="0" xfId="0" applyFont="1"/>
    <xf numFmtId="2" fontId="1" fillId="2" borderId="2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1CF5-01FF-4B79-80CE-6C837FDDA45F}">
  <dimension ref="A1:L118"/>
  <sheetViews>
    <sheetView tabSelected="1" workbookViewId="0">
      <selection activeCell="K1" sqref="K1"/>
    </sheetView>
  </sheetViews>
  <sheetFormatPr baseColWidth="10" defaultRowHeight="15" x14ac:dyDescent="0.25"/>
  <sheetData>
    <row r="1" spans="1:12" ht="4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x14ac:dyDescent="0.25">
      <c r="A2" t="s">
        <v>12</v>
      </c>
      <c r="B2" t="s">
        <v>13</v>
      </c>
      <c r="C2" s="8">
        <v>1</v>
      </c>
      <c r="D2" s="9">
        <v>14.79</v>
      </c>
      <c r="E2" s="9">
        <v>14.79</v>
      </c>
      <c r="F2" s="9">
        <v>9.0500000000000007</v>
      </c>
      <c r="G2" s="8">
        <v>12.86</v>
      </c>
      <c r="H2" s="8">
        <v>15.74</v>
      </c>
      <c r="I2" s="8">
        <f t="shared" ref="I2:I65" si="0">+E2*61.2/100</f>
        <v>9.0514799999999997</v>
      </c>
      <c r="J2" s="8">
        <f t="shared" ref="J2:J65" si="1">+D2*61.2/100</f>
        <v>9.0514799999999997</v>
      </c>
      <c r="K2" s="8">
        <f t="shared" ref="K2:K65" si="2">+J2/1.12</f>
        <v>8.0816785714285704</v>
      </c>
      <c r="L2" s="10">
        <f t="shared" ref="L2:L65" si="3">+K2*C2</f>
        <v>8.0816785714285704</v>
      </c>
    </row>
    <row r="3" spans="1:12" x14ac:dyDescent="0.25">
      <c r="A3" t="s">
        <v>14</v>
      </c>
      <c r="B3" t="s">
        <v>15</v>
      </c>
      <c r="C3" s="8">
        <v>1</v>
      </c>
      <c r="D3" s="9">
        <v>14.4</v>
      </c>
      <c r="E3" s="9">
        <v>14.4</v>
      </c>
      <c r="F3" s="9">
        <v>8.81</v>
      </c>
      <c r="G3" s="8">
        <v>12.52</v>
      </c>
      <c r="H3" s="8">
        <v>15.32</v>
      </c>
      <c r="I3" s="8">
        <f t="shared" si="0"/>
        <v>8.8128000000000011</v>
      </c>
      <c r="J3" s="8">
        <f t="shared" si="1"/>
        <v>8.8128000000000011</v>
      </c>
      <c r="K3" s="8">
        <f t="shared" si="2"/>
        <v>7.8685714285714292</v>
      </c>
      <c r="L3" s="10">
        <f t="shared" si="3"/>
        <v>7.8685714285714292</v>
      </c>
    </row>
    <row r="4" spans="1:12" x14ac:dyDescent="0.25">
      <c r="A4" t="s">
        <v>16</v>
      </c>
      <c r="B4" t="s">
        <v>17</v>
      </c>
      <c r="C4" s="8">
        <v>1</v>
      </c>
      <c r="D4" s="9">
        <v>29.65</v>
      </c>
      <c r="E4" s="9">
        <v>29.65</v>
      </c>
      <c r="F4" s="9">
        <v>18.14</v>
      </c>
      <c r="G4" s="8">
        <v>25.78</v>
      </c>
      <c r="H4" s="8">
        <v>31.55</v>
      </c>
      <c r="I4" s="8">
        <f t="shared" si="0"/>
        <v>18.145799999999998</v>
      </c>
      <c r="J4" s="8">
        <f t="shared" si="1"/>
        <v>18.145799999999998</v>
      </c>
      <c r="K4" s="8">
        <f t="shared" si="2"/>
        <v>16.201607142857139</v>
      </c>
      <c r="L4" s="10">
        <f t="shared" si="3"/>
        <v>16.201607142857139</v>
      </c>
    </row>
    <row r="5" spans="1:12" x14ac:dyDescent="0.25">
      <c r="A5" t="s">
        <v>18</v>
      </c>
      <c r="B5" t="s">
        <v>19</v>
      </c>
      <c r="C5" s="8">
        <v>1</v>
      </c>
      <c r="D5" s="9">
        <v>14.38</v>
      </c>
      <c r="E5" s="9">
        <v>14.38</v>
      </c>
      <c r="F5" s="9">
        <v>8.8000000000000007</v>
      </c>
      <c r="G5" s="8">
        <v>12.5</v>
      </c>
      <c r="H5" s="8">
        <v>15.3</v>
      </c>
      <c r="I5" s="8">
        <f t="shared" si="0"/>
        <v>8.8005600000000008</v>
      </c>
      <c r="J5" s="8">
        <f t="shared" si="1"/>
        <v>8.8005600000000008</v>
      </c>
      <c r="K5" s="8">
        <f t="shared" si="2"/>
        <v>7.8576428571428574</v>
      </c>
      <c r="L5" s="10">
        <f t="shared" si="3"/>
        <v>7.8576428571428574</v>
      </c>
    </row>
    <row r="6" spans="1:12" x14ac:dyDescent="0.25">
      <c r="A6" t="s">
        <v>20</v>
      </c>
      <c r="B6" t="s">
        <v>21</v>
      </c>
      <c r="C6" s="8">
        <v>1</v>
      </c>
      <c r="D6" s="9">
        <v>19.72</v>
      </c>
      <c r="E6" s="9">
        <v>19.72</v>
      </c>
      <c r="F6" s="9">
        <v>12.07</v>
      </c>
      <c r="G6" s="8">
        <v>17.149999999999999</v>
      </c>
      <c r="H6" s="8">
        <v>20.99</v>
      </c>
      <c r="I6" s="8">
        <f t="shared" si="0"/>
        <v>12.06864</v>
      </c>
      <c r="J6" s="8">
        <f t="shared" si="1"/>
        <v>12.06864</v>
      </c>
      <c r="K6" s="8">
        <f t="shared" si="2"/>
        <v>10.775571428571428</v>
      </c>
      <c r="L6" s="10">
        <f t="shared" si="3"/>
        <v>10.775571428571428</v>
      </c>
    </row>
    <row r="7" spans="1:12" x14ac:dyDescent="0.25">
      <c r="A7" t="s">
        <v>22</v>
      </c>
      <c r="B7" t="s">
        <v>23</v>
      </c>
      <c r="C7" s="8">
        <v>1</v>
      </c>
      <c r="D7" s="9">
        <v>10.01</v>
      </c>
      <c r="E7" s="9">
        <v>10.01</v>
      </c>
      <c r="F7" s="9">
        <v>6.12</v>
      </c>
      <c r="G7" s="8">
        <v>8.6999999999999993</v>
      </c>
      <c r="H7" s="8">
        <v>10.65</v>
      </c>
      <c r="I7" s="8">
        <f t="shared" si="0"/>
        <v>6.1261199999999993</v>
      </c>
      <c r="J7" s="8">
        <f t="shared" si="1"/>
        <v>6.1261199999999993</v>
      </c>
      <c r="K7" s="8">
        <f t="shared" si="2"/>
        <v>5.4697499999999986</v>
      </c>
      <c r="L7" s="10">
        <f t="shared" si="3"/>
        <v>5.4697499999999986</v>
      </c>
    </row>
    <row r="8" spans="1:12" x14ac:dyDescent="0.25">
      <c r="A8" t="s">
        <v>24</v>
      </c>
      <c r="B8" t="s">
        <v>25</v>
      </c>
      <c r="C8" s="8">
        <v>1</v>
      </c>
      <c r="D8" s="9">
        <v>35.049999999999997</v>
      </c>
      <c r="E8" s="9">
        <v>35.049999999999997</v>
      </c>
      <c r="F8" s="9">
        <v>21.45</v>
      </c>
      <c r="G8" s="8">
        <v>30.48</v>
      </c>
      <c r="H8" s="8">
        <v>37.31</v>
      </c>
      <c r="I8" s="8">
        <f t="shared" si="0"/>
        <v>21.450599999999998</v>
      </c>
      <c r="J8" s="8">
        <f t="shared" si="1"/>
        <v>21.450599999999998</v>
      </c>
      <c r="K8" s="8">
        <f t="shared" si="2"/>
        <v>19.152321428571426</v>
      </c>
      <c r="L8" s="10">
        <f t="shared" si="3"/>
        <v>19.152321428571426</v>
      </c>
    </row>
    <row r="9" spans="1:12" x14ac:dyDescent="0.25">
      <c r="A9" t="s">
        <v>26</v>
      </c>
      <c r="B9" t="s">
        <v>27</v>
      </c>
      <c r="C9" s="8">
        <v>1</v>
      </c>
      <c r="D9" s="9">
        <v>36.86</v>
      </c>
      <c r="E9" s="9">
        <v>36.86</v>
      </c>
      <c r="F9" s="9">
        <v>22.56</v>
      </c>
      <c r="G9" s="8">
        <v>32.049999999999997</v>
      </c>
      <c r="H9" s="8">
        <v>39.229999999999997</v>
      </c>
      <c r="I9" s="8">
        <f t="shared" si="0"/>
        <v>22.558319999999998</v>
      </c>
      <c r="J9" s="8">
        <f t="shared" si="1"/>
        <v>22.558319999999998</v>
      </c>
      <c r="K9" s="8">
        <f t="shared" si="2"/>
        <v>20.141357142857139</v>
      </c>
      <c r="L9" s="10">
        <f t="shared" si="3"/>
        <v>20.141357142857139</v>
      </c>
    </row>
    <row r="10" spans="1:12" x14ac:dyDescent="0.25">
      <c r="A10" t="s">
        <v>28</v>
      </c>
      <c r="B10" t="s">
        <v>29</v>
      </c>
      <c r="C10" s="8">
        <v>2</v>
      </c>
      <c r="D10" s="9">
        <v>35.049999999999997</v>
      </c>
      <c r="E10" s="9">
        <v>70.099999999999994</v>
      </c>
      <c r="F10" s="9">
        <v>42.9</v>
      </c>
      <c r="G10" s="8">
        <v>30.48</v>
      </c>
      <c r="H10" s="8">
        <v>74.62</v>
      </c>
      <c r="I10" s="8">
        <f t="shared" si="0"/>
        <v>42.901199999999996</v>
      </c>
      <c r="J10" s="8">
        <f t="shared" si="1"/>
        <v>21.450599999999998</v>
      </c>
      <c r="K10" s="8">
        <f t="shared" si="2"/>
        <v>19.152321428571426</v>
      </c>
      <c r="L10" s="10">
        <f t="shared" si="3"/>
        <v>38.304642857142852</v>
      </c>
    </row>
    <row r="11" spans="1:12" x14ac:dyDescent="0.25">
      <c r="A11" t="s">
        <v>30</v>
      </c>
      <c r="B11" t="s">
        <v>31</v>
      </c>
      <c r="C11" s="8">
        <v>1</v>
      </c>
      <c r="D11" s="9">
        <v>36.86</v>
      </c>
      <c r="E11" s="9">
        <v>36.86</v>
      </c>
      <c r="F11" s="9">
        <v>22.56</v>
      </c>
      <c r="G11" s="8">
        <v>32.049999999999997</v>
      </c>
      <c r="H11" s="8">
        <v>39.229999999999997</v>
      </c>
      <c r="I11" s="8">
        <f t="shared" si="0"/>
        <v>22.558319999999998</v>
      </c>
      <c r="J11" s="8">
        <f t="shared" si="1"/>
        <v>22.558319999999998</v>
      </c>
      <c r="K11" s="8">
        <f t="shared" si="2"/>
        <v>20.141357142857139</v>
      </c>
      <c r="L11" s="10">
        <f t="shared" si="3"/>
        <v>20.141357142857139</v>
      </c>
    </row>
    <row r="12" spans="1:12" x14ac:dyDescent="0.25">
      <c r="A12" t="s">
        <v>32</v>
      </c>
      <c r="B12" t="s">
        <v>33</v>
      </c>
      <c r="C12" s="11">
        <v>8</v>
      </c>
      <c r="D12" s="9">
        <v>35.51</v>
      </c>
      <c r="E12" s="9">
        <v>284.05</v>
      </c>
      <c r="F12" s="9">
        <v>173.84</v>
      </c>
      <c r="G12" s="8">
        <v>30.88</v>
      </c>
      <c r="H12" s="8">
        <v>302.33</v>
      </c>
      <c r="I12" s="8">
        <f t="shared" si="0"/>
        <v>173.83860000000001</v>
      </c>
      <c r="J12" s="8">
        <f t="shared" si="1"/>
        <v>21.732119999999998</v>
      </c>
      <c r="K12" s="8">
        <f t="shared" si="2"/>
        <v>19.403678571428568</v>
      </c>
      <c r="L12" s="10">
        <f t="shared" si="3"/>
        <v>155.22942857142854</v>
      </c>
    </row>
    <row r="13" spans="1:12" x14ac:dyDescent="0.25">
      <c r="A13" t="s">
        <v>34</v>
      </c>
      <c r="B13" t="s">
        <v>35</v>
      </c>
      <c r="C13" s="11">
        <v>1</v>
      </c>
      <c r="D13" s="9">
        <v>36.86</v>
      </c>
      <c r="E13" s="9">
        <v>36.86</v>
      </c>
      <c r="F13" s="9">
        <v>22.56</v>
      </c>
      <c r="G13" s="8">
        <v>32.049999999999997</v>
      </c>
      <c r="H13" s="8">
        <v>39.229999999999997</v>
      </c>
      <c r="I13" s="8">
        <f t="shared" si="0"/>
        <v>22.558319999999998</v>
      </c>
      <c r="J13" s="8">
        <f t="shared" si="1"/>
        <v>22.558319999999998</v>
      </c>
      <c r="K13" s="8">
        <f t="shared" si="2"/>
        <v>20.141357142857139</v>
      </c>
      <c r="L13" s="10">
        <f t="shared" si="3"/>
        <v>20.141357142857139</v>
      </c>
    </row>
    <row r="14" spans="1:12" x14ac:dyDescent="0.25">
      <c r="A14" t="s">
        <v>36</v>
      </c>
      <c r="B14" t="s">
        <v>37</v>
      </c>
      <c r="C14" s="11">
        <v>3</v>
      </c>
      <c r="D14" s="9">
        <v>30.97</v>
      </c>
      <c r="E14" s="9">
        <v>92.92</v>
      </c>
      <c r="F14" s="9">
        <v>56.86</v>
      </c>
      <c r="G14" s="8">
        <v>26.93</v>
      </c>
      <c r="H14" s="8">
        <v>98.9</v>
      </c>
      <c r="I14" s="8">
        <f t="shared" si="0"/>
        <v>56.867040000000003</v>
      </c>
      <c r="J14" s="8">
        <f t="shared" si="1"/>
        <v>18.95364</v>
      </c>
      <c r="K14" s="8">
        <f t="shared" si="2"/>
        <v>16.922892857142855</v>
      </c>
      <c r="L14" s="10">
        <f t="shared" si="3"/>
        <v>50.768678571428566</v>
      </c>
    </row>
    <row r="15" spans="1:12" x14ac:dyDescent="0.25">
      <c r="A15" t="s">
        <v>38</v>
      </c>
      <c r="B15" t="s">
        <v>39</v>
      </c>
      <c r="C15" s="8">
        <v>1</v>
      </c>
      <c r="D15" s="9">
        <v>35.049999999999997</v>
      </c>
      <c r="E15" s="9">
        <v>35.049999999999997</v>
      </c>
      <c r="F15" s="9">
        <v>21.45</v>
      </c>
      <c r="G15" s="8">
        <v>30.48</v>
      </c>
      <c r="H15" s="8">
        <v>37.31</v>
      </c>
      <c r="I15" s="8">
        <f t="shared" si="0"/>
        <v>21.450599999999998</v>
      </c>
      <c r="J15" s="8">
        <f t="shared" si="1"/>
        <v>21.450599999999998</v>
      </c>
      <c r="K15" s="8">
        <f t="shared" si="2"/>
        <v>19.152321428571426</v>
      </c>
      <c r="L15" s="10">
        <f t="shared" si="3"/>
        <v>19.152321428571426</v>
      </c>
    </row>
    <row r="16" spans="1:12" x14ac:dyDescent="0.25">
      <c r="A16" t="s">
        <v>40</v>
      </c>
      <c r="B16" t="s">
        <v>41</v>
      </c>
      <c r="C16" s="8">
        <v>7</v>
      </c>
      <c r="D16" s="9">
        <v>33.25</v>
      </c>
      <c r="E16" s="9">
        <v>232.75</v>
      </c>
      <c r="F16" s="9">
        <v>142.44</v>
      </c>
      <c r="G16" s="8">
        <v>28.91</v>
      </c>
      <c r="H16" s="8">
        <v>247.73</v>
      </c>
      <c r="I16" s="8">
        <f t="shared" si="0"/>
        <v>142.44300000000001</v>
      </c>
      <c r="J16" s="8">
        <f t="shared" si="1"/>
        <v>20.349</v>
      </c>
      <c r="K16" s="8">
        <f t="shared" si="2"/>
        <v>18.168749999999999</v>
      </c>
      <c r="L16" s="10">
        <f t="shared" si="3"/>
        <v>127.18124999999999</v>
      </c>
    </row>
    <row r="17" spans="1:12" x14ac:dyDescent="0.25">
      <c r="A17" t="s">
        <v>42</v>
      </c>
      <c r="B17" t="s">
        <v>43</v>
      </c>
      <c r="C17" s="11">
        <v>2</v>
      </c>
      <c r="D17" s="9">
        <v>35.049999999999997</v>
      </c>
      <c r="E17" s="9">
        <v>70.099999999999994</v>
      </c>
      <c r="F17" s="9">
        <v>42.9</v>
      </c>
      <c r="G17" s="8">
        <v>30.48</v>
      </c>
      <c r="H17" s="8">
        <v>74.62</v>
      </c>
      <c r="I17" s="8">
        <f t="shared" si="0"/>
        <v>42.901199999999996</v>
      </c>
      <c r="J17" s="8">
        <f t="shared" si="1"/>
        <v>21.450599999999998</v>
      </c>
      <c r="K17" s="8">
        <f t="shared" si="2"/>
        <v>19.152321428571426</v>
      </c>
      <c r="L17" s="10">
        <f t="shared" si="3"/>
        <v>38.304642857142852</v>
      </c>
    </row>
    <row r="18" spans="1:12" x14ac:dyDescent="0.25">
      <c r="A18" t="s">
        <v>44</v>
      </c>
      <c r="B18" t="s">
        <v>45</v>
      </c>
      <c r="C18" s="11">
        <v>1</v>
      </c>
      <c r="D18" s="9">
        <v>35.049999999999997</v>
      </c>
      <c r="E18" s="9">
        <v>35.049999999999997</v>
      </c>
      <c r="F18" s="9">
        <v>21.45</v>
      </c>
      <c r="G18" s="8">
        <v>30.48</v>
      </c>
      <c r="H18" s="8">
        <v>37.31</v>
      </c>
      <c r="I18" s="8">
        <f t="shared" si="0"/>
        <v>21.450599999999998</v>
      </c>
      <c r="J18" s="8">
        <f t="shared" si="1"/>
        <v>21.450599999999998</v>
      </c>
      <c r="K18" s="8">
        <f t="shared" si="2"/>
        <v>19.152321428571426</v>
      </c>
      <c r="L18" s="10">
        <f t="shared" si="3"/>
        <v>19.152321428571426</v>
      </c>
    </row>
    <row r="19" spans="1:12" x14ac:dyDescent="0.25">
      <c r="A19" t="s">
        <v>46</v>
      </c>
      <c r="B19" t="s">
        <v>47</v>
      </c>
      <c r="C19" s="11">
        <v>6</v>
      </c>
      <c r="D19" s="9">
        <v>32.979999999999997</v>
      </c>
      <c r="E19" s="9">
        <v>197.85</v>
      </c>
      <c r="F19" s="9">
        <v>121.09</v>
      </c>
      <c r="G19" s="8">
        <v>28.67</v>
      </c>
      <c r="H19" s="8">
        <v>210.59</v>
      </c>
      <c r="I19" s="8">
        <f t="shared" si="0"/>
        <v>121.0842</v>
      </c>
      <c r="J19" s="8">
        <f t="shared" si="1"/>
        <v>20.183759999999999</v>
      </c>
      <c r="K19" s="8">
        <f t="shared" si="2"/>
        <v>18.021214285714283</v>
      </c>
      <c r="L19" s="10">
        <f t="shared" si="3"/>
        <v>108.1272857142857</v>
      </c>
    </row>
    <row r="20" spans="1:12" x14ac:dyDescent="0.25">
      <c r="A20" t="s">
        <v>48</v>
      </c>
      <c r="B20" t="s">
        <v>49</v>
      </c>
      <c r="C20" s="11">
        <v>6</v>
      </c>
      <c r="D20" s="9">
        <v>35.049999999999997</v>
      </c>
      <c r="E20" s="9">
        <v>210.31</v>
      </c>
      <c r="F20" s="9">
        <v>128.71</v>
      </c>
      <c r="G20" s="8">
        <v>30.48</v>
      </c>
      <c r="H20" s="8">
        <v>223.85</v>
      </c>
      <c r="I20" s="8">
        <f t="shared" si="0"/>
        <v>128.70972</v>
      </c>
      <c r="J20" s="8">
        <f t="shared" si="1"/>
        <v>21.450599999999998</v>
      </c>
      <c r="K20" s="8">
        <f t="shared" si="2"/>
        <v>19.152321428571426</v>
      </c>
      <c r="L20" s="10">
        <f t="shared" si="3"/>
        <v>114.91392857142856</v>
      </c>
    </row>
    <row r="21" spans="1:12" x14ac:dyDescent="0.25">
      <c r="A21" t="s">
        <v>50</v>
      </c>
      <c r="B21" t="s">
        <v>51</v>
      </c>
      <c r="C21" s="11">
        <v>2</v>
      </c>
      <c r="D21" s="9">
        <v>35.049999999999997</v>
      </c>
      <c r="E21" s="9">
        <v>70.099999999999994</v>
      </c>
      <c r="F21" s="9">
        <v>42.9</v>
      </c>
      <c r="G21" s="8">
        <v>30.48</v>
      </c>
      <c r="H21" s="8">
        <v>74.62</v>
      </c>
      <c r="I21" s="8">
        <f t="shared" si="0"/>
        <v>42.901199999999996</v>
      </c>
      <c r="J21" s="8">
        <f t="shared" si="1"/>
        <v>21.450599999999998</v>
      </c>
      <c r="K21" s="8">
        <f t="shared" si="2"/>
        <v>19.152321428571426</v>
      </c>
      <c r="L21" s="10">
        <f t="shared" si="3"/>
        <v>38.304642857142852</v>
      </c>
    </row>
    <row r="22" spans="1:12" x14ac:dyDescent="0.25">
      <c r="A22" t="s">
        <v>52</v>
      </c>
      <c r="B22" t="s">
        <v>53</v>
      </c>
      <c r="C22" s="11">
        <v>8</v>
      </c>
      <c r="D22" s="9">
        <v>34.64</v>
      </c>
      <c r="E22" s="9">
        <v>277.08999999999997</v>
      </c>
      <c r="F22" s="9">
        <v>169.58</v>
      </c>
      <c r="G22" s="8">
        <v>30.12</v>
      </c>
      <c r="H22" s="8">
        <v>294.92</v>
      </c>
      <c r="I22" s="8">
        <f t="shared" si="0"/>
        <v>169.57908</v>
      </c>
      <c r="J22" s="8">
        <f t="shared" si="1"/>
        <v>21.199680000000004</v>
      </c>
      <c r="K22" s="8">
        <f t="shared" si="2"/>
        <v>18.928285714285717</v>
      </c>
      <c r="L22" s="10">
        <f t="shared" si="3"/>
        <v>151.42628571428574</v>
      </c>
    </row>
    <row r="23" spans="1:12" x14ac:dyDescent="0.25">
      <c r="A23" t="s">
        <v>54</v>
      </c>
      <c r="B23" t="s">
        <v>55</v>
      </c>
      <c r="C23" s="11">
        <v>1</v>
      </c>
      <c r="D23" s="9">
        <v>35.049999999999997</v>
      </c>
      <c r="E23" s="9">
        <v>35.049999999999997</v>
      </c>
      <c r="F23" s="12">
        <v>21.45</v>
      </c>
      <c r="G23" s="13">
        <v>30.48</v>
      </c>
      <c r="H23" s="13">
        <v>37.31</v>
      </c>
      <c r="I23" s="8">
        <f t="shared" si="0"/>
        <v>21.450599999999998</v>
      </c>
      <c r="J23" s="8">
        <f t="shared" si="1"/>
        <v>21.450599999999998</v>
      </c>
      <c r="K23" s="8">
        <f t="shared" si="2"/>
        <v>19.152321428571426</v>
      </c>
      <c r="L23" s="10">
        <f t="shared" si="3"/>
        <v>19.152321428571426</v>
      </c>
    </row>
    <row r="24" spans="1:12" x14ac:dyDescent="0.25">
      <c r="A24" t="s">
        <v>56</v>
      </c>
      <c r="B24" t="s">
        <v>57</v>
      </c>
      <c r="C24" s="11">
        <v>1</v>
      </c>
      <c r="D24" s="9">
        <v>35.04</v>
      </c>
      <c r="E24" s="9">
        <v>35.04</v>
      </c>
      <c r="F24" s="12">
        <v>21.44</v>
      </c>
      <c r="G24" s="13">
        <v>30.47</v>
      </c>
      <c r="H24" s="13">
        <v>37.299999999999997</v>
      </c>
      <c r="I24" s="8">
        <f t="shared" si="0"/>
        <v>21.444479999999999</v>
      </c>
      <c r="J24" s="8">
        <f t="shared" si="1"/>
        <v>21.444479999999999</v>
      </c>
      <c r="K24" s="8">
        <f t="shared" si="2"/>
        <v>19.14685714285714</v>
      </c>
      <c r="L24" s="10">
        <f t="shared" si="3"/>
        <v>19.14685714285714</v>
      </c>
    </row>
    <row r="25" spans="1:12" x14ac:dyDescent="0.25">
      <c r="A25" t="s">
        <v>58</v>
      </c>
      <c r="B25" t="s">
        <v>59</v>
      </c>
      <c r="C25" s="11">
        <v>3</v>
      </c>
      <c r="D25" s="9">
        <v>36.86</v>
      </c>
      <c r="E25" s="9">
        <v>110.57</v>
      </c>
      <c r="F25" s="12">
        <v>67.67</v>
      </c>
      <c r="G25" s="13">
        <v>32.049999999999997</v>
      </c>
      <c r="H25" s="13">
        <v>117.69</v>
      </c>
      <c r="I25" s="8">
        <f t="shared" si="0"/>
        <v>67.668840000000003</v>
      </c>
      <c r="J25" s="8">
        <f t="shared" si="1"/>
        <v>22.558319999999998</v>
      </c>
      <c r="K25" s="8">
        <f t="shared" si="2"/>
        <v>20.141357142857139</v>
      </c>
      <c r="L25" s="10">
        <f t="shared" si="3"/>
        <v>60.424071428571416</v>
      </c>
    </row>
    <row r="26" spans="1:12" x14ac:dyDescent="0.25">
      <c r="A26" t="s">
        <v>60</v>
      </c>
      <c r="B26" t="s">
        <v>61</v>
      </c>
      <c r="C26" s="11">
        <v>5</v>
      </c>
      <c r="D26" s="9">
        <v>32.880000000000003</v>
      </c>
      <c r="E26" s="9">
        <v>164.4</v>
      </c>
      <c r="F26" s="9">
        <v>100.61</v>
      </c>
      <c r="G26" s="8">
        <v>28.59</v>
      </c>
      <c r="H26" s="8">
        <v>174.98</v>
      </c>
      <c r="I26" s="8">
        <f t="shared" si="0"/>
        <v>100.61280000000001</v>
      </c>
      <c r="J26" s="8">
        <f t="shared" si="1"/>
        <v>20.122560000000004</v>
      </c>
      <c r="K26" s="8">
        <f t="shared" si="2"/>
        <v>17.966571428571431</v>
      </c>
      <c r="L26" s="10">
        <f t="shared" si="3"/>
        <v>89.832857142857151</v>
      </c>
    </row>
    <row r="27" spans="1:12" x14ac:dyDescent="0.25">
      <c r="A27" t="s">
        <v>62</v>
      </c>
      <c r="B27" t="s">
        <v>63</v>
      </c>
      <c r="C27" s="11">
        <v>2</v>
      </c>
      <c r="D27" s="9">
        <v>32.799999999999997</v>
      </c>
      <c r="E27" s="9">
        <v>65.599999999999994</v>
      </c>
      <c r="F27" s="12">
        <v>40.15</v>
      </c>
      <c r="G27" s="13">
        <v>28.52</v>
      </c>
      <c r="H27" s="13">
        <v>69.819999999999993</v>
      </c>
      <c r="I27" s="8">
        <f t="shared" si="0"/>
        <v>40.147199999999998</v>
      </c>
      <c r="J27" s="8">
        <f t="shared" si="1"/>
        <v>20.073599999999999</v>
      </c>
      <c r="K27" s="8">
        <f t="shared" si="2"/>
        <v>17.92285714285714</v>
      </c>
      <c r="L27" s="10">
        <f t="shared" si="3"/>
        <v>35.84571428571428</v>
      </c>
    </row>
    <row r="28" spans="1:12" x14ac:dyDescent="0.25">
      <c r="A28" t="s">
        <v>64</v>
      </c>
      <c r="B28" t="s">
        <v>65</v>
      </c>
      <c r="C28" s="11">
        <v>1</v>
      </c>
      <c r="D28" s="9">
        <v>35.049999999999997</v>
      </c>
      <c r="E28" s="9">
        <v>35.049999999999997</v>
      </c>
      <c r="F28" s="12">
        <v>21.45</v>
      </c>
      <c r="G28" s="13">
        <v>30.48</v>
      </c>
      <c r="H28" s="13">
        <v>37.31</v>
      </c>
      <c r="I28" s="8">
        <f t="shared" si="0"/>
        <v>21.450599999999998</v>
      </c>
      <c r="J28" s="8">
        <f t="shared" si="1"/>
        <v>21.450599999999998</v>
      </c>
      <c r="K28" s="8">
        <f t="shared" si="2"/>
        <v>19.152321428571426</v>
      </c>
      <c r="L28" s="10">
        <f t="shared" si="3"/>
        <v>19.152321428571426</v>
      </c>
    </row>
    <row r="29" spans="1:12" x14ac:dyDescent="0.25">
      <c r="A29" t="s">
        <v>66</v>
      </c>
      <c r="B29" t="s">
        <v>67</v>
      </c>
      <c r="C29" s="11">
        <v>1</v>
      </c>
      <c r="D29" s="9">
        <v>35.049999999999997</v>
      </c>
      <c r="E29" s="9">
        <v>35.049999999999997</v>
      </c>
      <c r="F29" s="12">
        <v>21.45</v>
      </c>
      <c r="G29" s="13">
        <v>30.48</v>
      </c>
      <c r="H29" s="13">
        <v>37.31</v>
      </c>
      <c r="I29" s="8">
        <f t="shared" si="0"/>
        <v>21.450599999999998</v>
      </c>
      <c r="J29" s="8">
        <f t="shared" si="1"/>
        <v>21.450599999999998</v>
      </c>
      <c r="K29" s="8">
        <f t="shared" si="2"/>
        <v>19.152321428571426</v>
      </c>
      <c r="L29" s="10">
        <f t="shared" si="3"/>
        <v>19.152321428571426</v>
      </c>
    </row>
    <row r="30" spans="1:12" x14ac:dyDescent="0.25">
      <c r="A30" t="s">
        <v>68</v>
      </c>
      <c r="B30" t="s">
        <v>69</v>
      </c>
      <c r="C30" s="11">
        <v>1</v>
      </c>
      <c r="D30" s="9">
        <v>35.049999999999997</v>
      </c>
      <c r="E30" s="9">
        <v>35.049999999999997</v>
      </c>
      <c r="F30" s="12">
        <v>21.45</v>
      </c>
      <c r="G30" s="13">
        <v>30.48</v>
      </c>
      <c r="H30" s="13">
        <v>37.31</v>
      </c>
      <c r="I30" s="8">
        <f t="shared" si="0"/>
        <v>21.450599999999998</v>
      </c>
      <c r="J30" s="8">
        <f t="shared" si="1"/>
        <v>21.450599999999998</v>
      </c>
      <c r="K30" s="8">
        <f t="shared" si="2"/>
        <v>19.152321428571426</v>
      </c>
      <c r="L30" s="10">
        <f t="shared" si="3"/>
        <v>19.152321428571426</v>
      </c>
    </row>
    <row r="31" spans="1:12" x14ac:dyDescent="0.25">
      <c r="A31" t="s">
        <v>70</v>
      </c>
      <c r="B31" t="s">
        <v>71</v>
      </c>
      <c r="C31" s="11">
        <v>1</v>
      </c>
      <c r="D31" s="9">
        <v>13.63</v>
      </c>
      <c r="E31" s="9">
        <v>13.63</v>
      </c>
      <c r="F31" s="9">
        <v>8.34</v>
      </c>
      <c r="G31" s="8">
        <v>11.85</v>
      </c>
      <c r="H31" s="8">
        <v>14.51</v>
      </c>
      <c r="I31" s="8">
        <f t="shared" si="0"/>
        <v>8.3415600000000012</v>
      </c>
      <c r="J31" s="8">
        <f t="shared" si="1"/>
        <v>8.3415600000000012</v>
      </c>
      <c r="K31" s="8">
        <f t="shared" si="2"/>
        <v>7.4478214285714293</v>
      </c>
      <c r="L31" s="10">
        <f t="shared" si="3"/>
        <v>7.4478214285714293</v>
      </c>
    </row>
    <row r="32" spans="1:12" x14ac:dyDescent="0.25">
      <c r="A32" t="s">
        <v>72</v>
      </c>
      <c r="B32" t="s">
        <v>73</v>
      </c>
      <c r="C32" s="11">
        <v>1</v>
      </c>
      <c r="D32" s="9">
        <v>20.29</v>
      </c>
      <c r="E32" s="9">
        <v>20.29</v>
      </c>
      <c r="F32" s="12">
        <v>12.42</v>
      </c>
      <c r="G32" s="13">
        <v>17.64</v>
      </c>
      <c r="H32" s="13">
        <v>21.59</v>
      </c>
      <c r="I32" s="8">
        <f t="shared" si="0"/>
        <v>12.417480000000001</v>
      </c>
      <c r="J32" s="8">
        <f t="shared" si="1"/>
        <v>12.417480000000001</v>
      </c>
      <c r="K32" s="8">
        <f t="shared" si="2"/>
        <v>11.087035714285713</v>
      </c>
      <c r="L32" s="10">
        <f t="shared" si="3"/>
        <v>11.087035714285713</v>
      </c>
    </row>
    <row r="33" spans="1:12" x14ac:dyDescent="0.25">
      <c r="A33" t="s">
        <v>74</v>
      </c>
      <c r="B33" t="s">
        <v>75</v>
      </c>
      <c r="C33" s="8">
        <v>2</v>
      </c>
      <c r="D33" s="9">
        <v>16.68</v>
      </c>
      <c r="E33" s="9">
        <v>33.36</v>
      </c>
      <c r="F33" s="9">
        <v>20.420000000000002</v>
      </c>
      <c r="G33" s="8">
        <v>14.51</v>
      </c>
      <c r="H33" s="8">
        <v>35.51</v>
      </c>
      <c r="I33" s="8">
        <f t="shared" si="0"/>
        <v>20.416319999999999</v>
      </c>
      <c r="J33" s="8">
        <f t="shared" si="1"/>
        <v>10.208159999999999</v>
      </c>
      <c r="K33" s="8">
        <f t="shared" si="2"/>
        <v>9.1144285714285704</v>
      </c>
      <c r="L33" s="10">
        <f t="shared" si="3"/>
        <v>18.228857142857141</v>
      </c>
    </row>
    <row r="34" spans="1:12" x14ac:dyDescent="0.25">
      <c r="A34" t="s">
        <v>76</v>
      </c>
      <c r="B34" t="s">
        <v>77</v>
      </c>
      <c r="C34" s="11">
        <v>1</v>
      </c>
      <c r="D34" s="9">
        <v>27.85</v>
      </c>
      <c r="E34" s="9">
        <v>27.85</v>
      </c>
      <c r="F34" s="9">
        <v>17.05</v>
      </c>
      <c r="G34" s="8">
        <v>24.22</v>
      </c>
      <c r="H34" s="8">
        <v>29.65</v>
      </c>
      <c r="I34" s="8">
        <f t="shared" si="0"/>
        <v>17.0442</v>
      </c>
      <c r="J34" s="8">
        <f t="shared" si="1"/>
        <v>17.0442</v>
      </c>
      <c r="K34" s="8">
        <f t="shared" si="2"/>
        <v>15.218035714285714</v>
      </c>
      <c r="L34" s="10">
        <f t="shared" si="3"/>
        <v>15.218035714285714</v>
      </c>
    </row>
    <row r="35" spans="1:12" x14ac:dyDescent="0.25">
      <c r="A35" t="s">
        <v>78</v>
      </c>
      <c r="B35" t="s">
        <v>79</v>
      </c>
      <c r="C35" s="11">
        <v>8</v>
      </c>
      <c r="D35" s="9">
        <v>26.55</v>
      </c>
      <c r="E35" s="9">
        <v>212.4</v>
      </c>
      <c r="F35" s="9">
        <v>129.99</v>
      </c>
      <c r="G35" s="8">
        <v>23.09</v>
      </c>
      <c r="H35" s="8">
        <v>226.07</v>
      </c>
      <c r="I35" s="8">
        <f t="shared" si="0"/>
        <v>129.9888</v>
      </c>
      <c r="J35" s="8">
        <f t="shared" si="1"/>
        <v>16.2486</v>
      </c>
      <c r="K35" s="8">
        <f t="shared" si="2"/>
        <v>14.507678571428571</v>
      </c>
      <c r="L35" s="10">
        <f t="shared" si="3"/>
        <v>116.06142857142856</v>
      </c>
    </row>
    <row r="36" spans="1:12" x14ac:dyDescent="0.25">
      <c r="A36" t="s">
        <v>80</v>
      </c>
      <c r="B36" t="s">
        <v>81</v>
      </c>
      <c r="C36" s="11">
        <v>1</v>
      </c>
      <c r="D36" s="9">
        <v>27.85</v>
      </c>
      <c r="E36" s="9">
        <v>27.85</v>
      </c>
      <c r="F36" s="9">
        <v>17.05</v>
      </c>
      <c r="G36" s="8">
        <v>24.22</v>
      </c>
      <c r="H36" s="8">
        <v>29.65</v>
      </c>
      <c r="I36" s="8">
        <f t="shared" si="0"/>
        <v>17.0442</v>
      </c>
      <c r="J36" s="8">
        <f t="shared" si="1"/>
        <v>17.0442</v>
      </c>
      <c r="K36" s="8">
        <f t="shared" si="2"/>
        <v>15.218035714285714</v>
      </c>
      <c r="L36" s="10">
        <f t="shared" si="3"/>
        <v>15.218035714285714</v>
      </c>
    </row>
    <row r="37" spans="1:12" x14ac:dyDescent="0.25">
      <c r="A37" t="s">
        <v>82</v>
      </c>
      <c r="B37" t="s">
        <v>83</v>
      </c>
      <c r="C37" s="11">
        <v>1</v>
      </c>
      <c r="D37" s="9">
        <v>25.15</v>
      </c>
      <c r="E37" s="9">
        <v>25.15</v>
      </c>
      <c r="F37" s="9">
        <v>15.39</v>
      </c>
      <c r="G37" s="8">
        <v>21.87</v>
      </c>
      <c r="H37" s="8">
        <v>26.77</v>
      </c>
      <c r="I37" s="8">
        <f t="shared" si="0"/>
        <v>15.3918</v>
      </c>
      <c r="J37" s="8">
        <f t="shared" si="1"/>
        <v>15.3918</v>
      </c>
      <c r="K37" s="8">
        <f t="shared" si="2"/>
        <v>13.74267857142857</v>
      </c>
      <c r="L37" s="10">
        <f t="shared" si="3"/>
        <v>13.74267857142857</v>
      </c>
    </row>
    <row r="38" spans="1:12" x14ac:dyDescent="0.25">
      <c r="A38" t="s">
        <v>84</v>
      </c>
      <c r="B38" t="s">
        <v>85</v>
      </c>
      <c r="C38" s="11">
        <v>1</v>
      </c>
      <c r="D38" s="9">
        <v>27.85</v>
      </c>
      <c r="E38" s="9">
        <v>27.85</v>
      </c>
      <c r="F38" s="9">
        <v>17.05</v>
      </c>
      <c r="G38" s="8">
        <v>24.22</v>
      </c>
      <c r="H38" s="8">
        <v>29.65</v>
      </c>
      <c r="I38" s="8">
        <f t="shared" si="0"/>
        <v>17.0442</v>
      </c>
      <c r="J38" s="8">
        <f t="shared" si="1"/>
        <v>17.0442</v>
      </c>
      <c r="K38" s="8">
        <f t="shared" si="2"/>
        <v>15.218035714285714</v>
      </c>
      <c r="L38" s="10">
        <f t="shared" si="3"/>
        <v>15.218035714285714</v>
      </c>
    </row>
    <row r="39" spans="1:12" x14ac:dyDescent="0.25">
      <c r="A39" t="s">
        <v>86</v>
      </c>
      <c r="B39" t="s">
        <v>87</v>
      </c>
      <c r="C39" s="11">
        <v>1</v>
      </c>
      <c r="D39" s="9">
        <v>27.85</v>
      </c>
      <c r="E39" s="9">
        <v>27.85</v>
      </c>
      <c r="F39" s="9">
        <v>17.05</v>
      </c>
      <c r="G39" s="8">
        <v>24.22</v>
      </c>
      <c r="H39" s="8">
        <v>29.65</v>
      </c>
      <c r="I39" s="8">
        <f t="shared" si="0"/>
        <v>17.0442</v>
      </c>
      <c r="J39" s="8">
        <f t="shared" si="1"/>
        <v>17.0442</v>
      </c>
      <c r="K39" s="8">
        <f t="shared" si="2"/>
        <v>15.218035714285714</v>
      </c>
      <c r="L39" s="10">
        <f t="shared" si="3"/>
        <v>15.218035714285714</v>
      </c>
    </row>
    <row r="40" spans="1:12" x14ac:dyDescent="0.25">
      <c r="A40" t="s">
        <v>88</v>
      </c>
      <c r="B40" t="s">
        <v>89</v>
      </c>
      <c r="C40" s="8">
        <v>2</v>
      </c>
      <c r="D40" s="9">
        <v>19.57</v>
      </c>
      <c r="E40" s="9">
        <v>39.15</v>
      </c>
      <c r="F40" s="9">
        <v>23.96</v>
      </c>
      <c r="G40" s="8">
        <v>17.02</v>
      </c>
      <c r="H40" s="8">
        <v>41.67</v>
      </c>
      <c r="I40" s="8">
        <f t="shared" si="0"/>
        <v>23.959800000000001</v>
      </c>
      <c r="J40" s="8">
        <f t="shared" si="1"/>
        <v>11.976839999999999</v>
      </c>
      <c r="K40" s="8">
        <f t="shared" si="2"/>
        <v>10.693607142857141</v>
      </c>
      <c r="L40" s="10">
        <f t="shared" si="3"/>
        <v>21.387214285714283</v>
      </c>
    </row>
    <row r="41" spans="1:12" x14ac:dyDescent="0.25">
      <c r="A41" t="s">
        <v>90</v>
      </c>
      <c r="B41" t="s">
        <v>91</v>
      </c>
      <c r="C41" s="8">
        <v>4</v>
      </c>
      <c r="D41" s="9">
        <v>27.85</v>
      </c>
      <c r="E41" s="9">
        <v>111.41</v>
      </c>
      <c r="F41" s="9">
        <v>68.180000000000007</v>
      </c>
      <c r="G41" s="8">
        <v>24.22</v>
      </c>
      <c r="H41" s="8">
        <v>118.58</v>
      </c>
      <c r="I41" s="8">
        <f t="shared" si="0"/>
        <v>68.18292000000001</v>
      </c>
      <c r="J41" s="8">
        <f t="shared" si="1"/>
        <v>17.0442</v>
      </c>
      <c r="K41" s="8">
        <f t="shared" si="2"/>
        <v>15.218035714285714</v>
      </c>
      <c r="L41" s="10">
        <f t="shared" si="3"/>
        <v>60.872142857142855</v>
      </c>
    </row>
    <row r="42" spans="1:12" x14ac:dyDescent="0.25">
      <c r="A42" t="s">
        <v>92</v>
      </c>
      <c r="B42" t="s">
        <v>93</v>
      </c>
      <c r="C42" s="8">
        <v>2</v>
      </c>
      <c r="D42" s="9">
        <v>25.15</v>
      </c>
      <c r="E42" s="9">
        <v>50.3</v>
      </c>
      <c r="F42" s="9">
        <v>30.78</v>
      </c>
      <c r="G42" s="8">
        <v>21.87</v>
      </c>
      <c r="H42" s="8">
        <v>53.54</v>
      </c>
      <c r="I42" s="8">
        <f t="shared" si="0"/>
        <v>30.7836</v>
      </c>
      <c r="J42" s="8">
        <f t="shared" si="1"/>
        <v>15.3918</v>
      </c>
      <c r="K42" s="8">
        <f t="shared" si="2"/>
        <v>13.74267857142857</v>
      </c>
      <c r="L42" s="10">
        <f t="shared" si="3"/>
        <v>27.48535714285714</v>
      </c>
    </row>
    <row r="43" spans="1:12" x14ac:dyDescent="0.25">
      <c r="A43" t="s">
        <v>94</v>
      </c>
      <c r="B43" t="s">
        <v>95</v>
      </c>
      <c r="C43" s="8">
        <v>5</v>
      </c>
      <c r="D43" s="9">
        <v>27.85</v>
      </c>
      <c r="E43" s="9">
        <v>139.27000000000001</v>
      </c>
      <c r="F43" s="9">
        <v>85.23</v>
      </c>
      <c r="G43" s="8">
        <v>24.22</v>
      </c>
      <c r="H43" s="8">
        <v>148.22999999999999</v>
      </c>
      <c r="I43" s="8">
        <f t="shared" si="0"/>
        <v>85.233240000000009</v>
      </c>
      <c r="J43" s="8">
        <f t="shared" si="1"/>
        <v>17.0442</v>
      </c>
      <c r="K43" s="8">
        <f t="shared" si="2"/>
        <v>15.218035714285714</v>
      </c>
      <c r="L43" s="10">
        <f t="shared" si="3"/>
        <v>76.090178571428567</v>
      </c>
    </row>
    <row r="44" spans="1:12" x14ac:dyDescent="0.25">
      <c r="A44" t="s">
        <v>96</v>
      </c>
      <c r="B44" t="s">
        <v>97</v>
      </c>
      <c r="C44" s="8">
        <v>1</v>
      </c>
      <c r="D44" s="9">
        <v>27.85</v>
      </c>
      <c r="E44" s="9">
        <v>27.85</v>
      </c>
      <c r="F44" s="9">
        <v>17.05</v>
      </c>
      <c r="G44" s="8">
        <v>24.22</v>
      </c>
      <c r="H44" s="8">
        <v>29.65</v>
      </c>
      <c r="I44" s="8">
        <f t="shared" si="0"/>
        <v>17.0442</v>
      </c>
      <c r="J44" s="8">
        <f t="shared" si="1"/>
        <v>17.0442</v>
      </c>
      <c r="K44" s="8">
        <f t="shared" si="2"/>
        <v>15.218035714285714</v>
      </c>
      <c r="L44" s="10">
        <f t="shared" si="3"/>
        <v>15.218035714285714</v>
      </c>
    </row>
    <row r="45" spans="1:12" x14ac:dyDescent="0.25">
      <c r="A45" t="s">
        <v>98</v>
      </c>
      <c r="B45" t="s">
        <v>99</v>
      </c>
      <c r="C45" s="11">
        <v>4</v>
      </c>
      <c r="D45" s="9">
        <v>27.85</v>
      </c>
      <c r="E45" s="9">
        <v>111.41</v>
      </c>
      <c r="F45" s="9">
        <v>68.180000000000007</v>
      </c>
      <c r="G45" s="8">
        <v>24.22</v>
      </c>
      <c r="H45" s="8">
        <v>118.58</v>
      </c>
      <c r="I45" s="8">
        <f t="shared" si="0"/>
        <v>68.18292000000001</v>
      </c>
      <c r="J45" s="8">
        <f t="shared" si="1"/>
        <v>17.0442</v>
      </c>
      <c r="K45" s="8">
        <f t="shared" si="2"/>
        <v>15.218035714285714</v>
      </c>
      <c r="L45" s="10">
        <f t="shared" si="3"/>
        <v>60.872142857142855</v>
      </c>
    </row>
    <row r="46" spans="1:12" x14ac:dyDescent="0.25">
      <c r="A46" t="s">
        <v>100</v>
      </c>
      <c r="B46" t="s">
        <v>101</v>
      </c>
      <c r="C46" s="11">
        <v>3</v>
      </c>
      <c r="D46" s="9">
        <v>19.04</v>
      </c>
      <c r="E46" s="9">
        <v>57.11</v>
      </c>
      <c r="F46" s="9">
        <v>34.950000000000003</v>
      </c>
      <c r="G46" s="8">
        <v>16.55</v>
      </c>
      <c r="H46" s="8">
        <v>60.78</v>
      </c>
      <c r="I46" s="8">
        <f t="shared" si="0"/>
        <v>34.951320000000003</v>
      </c>
      <c r="J46" s="8">
        <f t="shared" si="1"/>
        <v>11.652480000000001</v>
      </c>
      <c r="K46" s="8">
        <f t="shared" si="2"/>
        <v>10.404</v>
      </c>
      <c r="L46" s="10">
        <f t="shared" si="3"/>
        <v>31.212</v>
      </c>
    </row>
    <row r="47" spans="1:12" x14ac:dyDescent="0.25">
      <c r="A47" t="s">
        <v>102</v>
      </c>
      <c r="B47" t="s">
        <v>103</v>
      </c>
      <c r="C47" s="11">
        <v>1</v>
      </c>
      <c r="D47" s="9">
        <v>5</v>
      </c>
      <c r="E47" s="9">
        <v>5</v>
      </c>
      <c r="F47" s="9">
        <v>3.06</v>
      </c>
      <c r="G47" s="8">
        <v>4.3499999999999996</v>
      </c>
      <c r="H47" s="8">
        <v>5.32</v>
      </c>
      <c r="I47" s="8">
        <f t="shared" si="0"/>
        <v>3.06</v>
      </c>
      <c r="J47" s="8">
        <f t="shared" si="1"/>
        <v>3.06</v>
      </c>
      <c r="K47" s="8">
        <f t="shared" si="2"/>
        <v>2.7321428571428568</v>
      </c>
      <c r="L47" s="10">
        <f t="shared" si="3"/>
        <v>2.7321428571428568</v>
      </c>
    </row>
    <row r="48" spans="1:12" x14ac:dyDescent="0.25">
      <c r="A48" t="s">
        <v>104</v>
      </c>
      <c r="B48" t="s">
        <v>105</v>
      </c>
      <c r="C48" s="11">
        <v>7</v>
      </c>
      <c r="D48" s="9">
        <v>26.27</v>
      </c>
      <c r="E48" s="9">
        <v>183.91</v>
      </c>
      <c r="F48" s="9">
        <v>112.55</v>
      </c>
      <c r="G48" s="8">
        <v>22.85</v>
      </c>
      <c r="H48" s="8">
        <v>195.75</v>
      </c>
      <c r="I48" s="8">
        <f t="shared" si="0"/>
        <v>112.55292</v>
      </c>
      <c r="J48" s="8">
        <f t="shared" si="1"/>
        <v>16.077240000000003</v>
      </c>
      <c r="K48" s="8">
        <f t="shared" si="2"/>
        <v>14.354678571428574</v>
      </c>
      <c r="L48" s="10">
        <f t="shared" si="3"/>
        <v>100.48275000000001</v>
      </c>
    </row>
    <row r="49" spans="1:12" x14ac:dyDescent="0.25">
      <c r="A49" t="s">
        <v>106</v>
      </c>
      <c r="B49" t="s">
        <v>107</v>
      </c>
      <c r="C49" s="11">
        <v>2</v>
      </c>
      <c r="D49" s="9">
        <v>25.15</v>
      </c>
      <c r="E49" s="9">
        <v>50.29</v>
      </c>
      <c r="F49" s="9">
        <v>30.78</v>
      </c>
      <c r="G49" s="8">
        <v>21.87</v>
      </c>
      <c r="H49" s="8">
        <v>53.53</v>
      </c>
      <c r="I49" s="8">
        <f t="shared" si="0"/>
        <v>30.777480000000001</v>
      </c>
      <c r="J49" s="8">
        <f t="shared" si="1"/>
        <v>15.3918</v>
      </c>
      <c r="K49" s="8">
        <f t="shared" si="2"/>
        <v>13.74267857142857</v>
      </c>
      <c r="L49" s="10">
        <f t="shared" si="3"/>
        <v>27.48535714285714</v>
      </c>
    </row>
    <row r="50" spans="1:12" x14ac:dyDescent="0.25">
      <c r="A50" t="s">
        <v>108</v>
      </c>
      <c r="B50" t="s">
        <v>109</v>
      </c>
      <c r="C50" s="11">
        <v>2</v>
      </c>
      <c r="D50" s="9">
        <v>29.65</v>
      </c>
      <c r="E50" s="9">
        <v>59.29</v>
      </c>
      <c r="F50" s="9">
        <v>36.29</v>
      </c>
      <c r="G50" s="8">
        <v>25.78</v>
      </c>
      <c r="H50" s="8">
        <v>63.11</v>
      </c>
      <c r="I50" s="8">
        <f t="shared" si="0"/>
        <v>36.28548</v>
      </c>
      <c r="J50" s="8">
        <f t="shared" si="1"/>
        <v>18.145799999999998</v>
      </c>
      <c r="K50" s="8">
        <f t="shared" si="2"/>
        <v>16.201607142857139</v>
      </c>
      <c r="L50" s="10">
        <f t="shared" si="3"/>
        <v>32.403214285714277</v>
      </c>
    </row>
    <row r="51" spans="1:12" x14ac:dyDescent="0.25">
      <c r="A51" t="s">
        <v>110</v>
      </c>
      <c r="B51" t="s">
        <v>111</v>
      </c>
      <c r="C51" s="11">
        <v>3</v>
      </c>
      <c r="D51" s="9">
        <v>26.65</v>
      </c>
      <c r="E51" s="9">
        <v>79.94</v>
      </c>
      <c r="F51" s="9">
        <v>48.92</v>
      </c>
      <c r="G51" s="8">
        <v>23.17</v>
      </c>
      <c r="H51" s="8">
        <v>85.09</v>
      </c>
      <c r="I51" s="8">
        <f t="shared" si="0"/>
        <v>48.923280000000005</v>
      </c>
      <c r="J51" s="8">
        <f t="shared" si="1"/>
        <v>16.309799999999999</v>
      </c>
      <c r="K51" s="8">
        <f t="shared" si="2"/>
        <v>14.562321428571426</v>
      </c>
      <c r="L51" s="10">
        <f t="shared" si="3"/>
        <v>43.686964285714282</v>
      </c>
    </row>
    <row r="52" spans="1:12" x14ac:dyDescent="0.25">
      <c r="A52" t="s">
        <v>112</v>
      </c>
      <c r="B52" t="s">
        <v>113</v>
      </c>
      <c r="C52" s="11">
        <v>1</v>
      </c>
      <c r="D52" s="9">
        <v>29.65</v>
      </c>
      <c r="E52" s="9">
        <v>29.65</v>
      </c>
      <c r="F52" s="9">
        <v>18.14</v>
      </c>
      <c r="G52" s="8">
        <v>25.78</v>
      </c>
      <c r="H52" s="8">
        <v>31.55</v>
      </c>
      <c r="I52" s="8">
        <f t="shared" si="0"/>
        <v>18.145799999999998</v>
      </c>
      <c r="J52" s="8">
        <f t="shared" si="1"/>
        <v>18.145799999999998</v>
      </c>
      <c r="K52" s="8">
        <f t="shared" si="2"/>
        <v>16.201607142857139</v>
      </c>
      <c r="L52" s="10">
        <f t="shared" si="3"/>
        <v>16.201607142857139</v>
      </c>
    </row>
    <row r="53" spans="1:12" x14ac:dyDescent="0.25">
      <c r="A53" t="s">
        <v>114</v>
      </c>
      <c r="B53" t="s">
        <v>115</v>
      </c>
      <c r="C53" s="11">
        <v>1</v>
      </c>
      <c r="D53" s="9">
        <v>29.65</v>
      </c>
      <c r="E53" s="9">
        <v>29.65</v>
      </c>
      <c r="F53" s="9">
        <v>18.14</v>
      </c>
      <c r="G53" s="8">
        <v>25.78</v>
      </c>
      <c r="H53" s="8">
        <v>31.55</v>
      </c>
      <c r="I53" s="8">
        <f t="shared" si="0"/>
        <v>18.145799999999998</v>
      </c>
      <c r="J53" s="8">
        <f t="shared" si="1"/>
        <v>18.145799999999998</v>
      </c>
      <c r="K53" s="8">
        <f t="shared" si="2"/>
        <v>16.201607142857139</v>
      </c>
      <c r="L53" s="10">
        <f t="shared" si="3"/>
        <v>16.201607142857139</v>
      </c>
    </row>
    <row r="54" spans="1:12" x14ac:dyDescent="0.25">
      <c r="A54" t="s">
        <v>116</v>
      </c>
      <c r="B54" t="s">
        <v>117</v>
      </c>
      <c r="C54" s="11">
        <v>6</v>
      </c>
      <c r="D54" s="9">
        <v>27.58</v>
      </c>
      <c r="E54" s="9">
        <v>165.47</v>
      </c>
      <c r="F54" s="9">
        <v>101.27</v>
      </c>
      <c r="G54" s="8">
        <v>23.98</v>
      </c>
      <c r="H54" s="8">
        <v>176.12</v>
      </c>
      <c r="I54" s="8">
        <f t="shared" si="0"/>
        <v>101.26764000000001</v>
      </c>
      <c r="J54" s="8">
        <f t="shared" si="1"/>
        <v>16.878959999999999</v>
      </c>
      <c r="K54" s="8">
        <f t="shared" si="2"/>
        <v>15.070499999999997</v>
      </c>
      <c r="L54" s="10">
        <f t="shared" si="3"/>
        <v>90.422999999999988</v>
      </c>
    </row>
    <row r="55" spans="1:12" x14ac:dyDescent="0.25">
      <c r="A55" t="s">
        <v>118</v>
      </c>
      <c r="B55" t="s">
        <v>119</v>
      </c>
      <c r="C55" s="11">
        <v>1</v>
      </c>
      <c r="D55" s="9">
        <v>20.65</v>
      </c>
      <c r="E55" s="9">
        <v>20.65</v>
      </c>
      <c r="F55" s="9">
        <v>12.64</v>
      </c>
      <c r="G55" s="8">
        <v>17.95</v>
      </c>
      <c r="H55" s="8">
        <v>21.98</v>
      </c>
      <c r="I55" s="8">
        <f t="shared" si="0"/>
        <v>12.6378</v>
      </c>
      <c r="J55" s="8">
        <f t="shared" si="1"/>
        <v>12.6378</v>
      </c>
      <c r="K55" s="8">
        <f t="shared" si="2"/>
        <v>11.28375</v>
      </c>
      <c r="L55" s="10">
        <f t="shared" si="3"/>
        <v>11.28375</v>
      </c>
    </row>
    <row r="56" spans="1:12" x14ac:dyDescent="0.25">
      <c r="A56" t="s">
        <v>120</v>
      </c>
      <c r="B56" t="s">
        <v>121</v>
      </c>
      <c r="C56" s="11">
        <v>1</v>
      </c>
      <c r="D56" s="9">
        <v>29.65</v>
      </c>
      <c r="E56" s="9">
        <v>29.65</v>
      </c>
      <c r="F56" s="9">
        <v>18.14</v>
      </c>
      <c r="G56" s="8">
        <v>25.78</v>
      </c>
      <c r="H56" s="8">
        <v>31.55</v>
      </c>
      <c r="I56" s="8">
        <f t="shared" si="0"/>
        <v>18.145799999999998</v>
      </c>
      <c r="J56" s="8">
        <f t="shared" si="1"/>
        <v>18.145799999999998</v>
      </c>
      <c r="K56" s="8">
        <f t="shared" si="2"/>
        <v>16.201607142857139</v>
      </c>
      <c r="L56" s="10">
        <f t="shared" si="3"/>
        <v>16.201607142857139</v>
      </c>
    </row>
    <row r="57" spans="1:12" x14ac:dyDescent="0.25">
      <c r="A57" t="s">
        <v>122</v>
      </c>
      <c r="B57" t="s">
        <v>123</v>
      </c>
      <c r="C57" s="11">
        <v>1</v>
      </c>
      <c r="D57" s="9">
        <v>29.65</v>
      </c>
      <c r="E57" s="9">
        <v>29.65</v>
      </c>
      <c r="F57" s="9">
        <v>18.14</v>
      </c>
      <c r="G57" s="8">
        <v>25.78</v>
      </c>
      <c r="H57" s="8">
        <v>31.55</v>
      </c>
      <c r="I57" s="8">
        <f t="shared" si="0"/>
        <v>18.145799999999998</v>
      </c>
      <c r="J57" s="8">
        <f t="shared" si="1"/>
        <v>18.145799999999998</v>
      </c>
      <c r="K57" s="8">
        <f t="shared" si="2"/>
        <v>16.201607142857139</v>
      </c>
      <c r="L57" s="10">
        <f t="shared" si="3"/>
        <v>16.201607142857139</v>
      </c>
    </row>
    <row r="58" spans="1:12" x14ac:dyDescent="0.25">
      <c r="A58" t="s">
        <v>124</v>
      </c>
      <c r="B58" t="s">
        <v>125</v>
      </c>
      <c r="C58" s="11">
        <v>1</v>
      </c>
      <c r="D58" s="9">
        <v>24.24</v>
      </c>
      <c r="E58" s="9">
        <v>24.24</v>
      </c>
      <c r="F58" s="9">
        <v>14.84</v>
      </c>
      <c r="G58" s="8">
        <v>21.08</v>
      </c>
      <c r="H58" s="8">
        <v>25.8</v>
      </c>
      <c r="I58" s="8">
        <f t="shared" si="0"/>
        <v>14.83488</v>
      </c>
      <c r="J58" s="8">
        <f t="shared" si="1"/>
        <v>14.83488</v>
      </c>
      <c r="K58" s="8">
        <f t="shared" si="2"/>
        <v>13.245428571428571</v>
      </c>
      <c r="L58" s="10">
        <f t="shared" si="3"/>
        <v>13.245428571428571</v>
      </c>
    </row>
    <row r="59" spans="1:12" x14ac:dyDescent="0.25">
      <c r="A59" t="s">
        <v>126</v>
      </c>
      <c r="B59" t="s">
        <v>127</v>
      </c>
      <c r="C59" s="11">
        <v>5</v>
      </c>
      <c r="D59" s="9">
        <v>27.91</v>
      </c>
      <c r="E59" s="9">
        <v>139.54</v>
      </c>
      <c r="F59" s="9">
        <v>85.4</v>
      </c>
      <c r="G59" s="8">
        <v>24.27</v>
      </c>
      <c r="H59" s="8">
        <v>148.52000000000001</v>
      </c>
      <c r="I59" s="8">
        <f t="shared" si="0"/>
        <v>85.398480000000006</v>
      </c>
      <c r="J59" s="8">
        <f t="shared" si="1"/>
        <v>17.080920000000003</v>
      </c>
      <c r="K59" s="8">
        <f t="shared" si="2"/>
        <v>15.250821428571429</v>
      </c>
      <c r="L59" s="10">
        <f t="shared" si="3"/>
        <v>76.254107142857151</v>
      </c>
    </row>
    <row r="60" spans="1:12" x14ac:dyDescent="0.25">
      <c r="A60" t="s">
        <v>128</v>
      </c>
      <c r="B60" t="s">
        <v>129</v>
      </c>
      <c r="C60" s="11">
        <v>1</v>
      </c>
      <c r="D60" s="9">
        <v>14.74</v>
      </c>
      <c r="E60" s="9">
        <v>14.74</v>
      </c>
      <c r="F60" s="9">
        <v>9.02</v>
      </c>
      <c r="G60" s="8">
        <v>12.82</v>
      </c>
      <c r="H60" s="8">
        <v>15.69</v>
      </c>
      <c r="I60" s="8">
        <f t="shared" si="0"/>
        <v>9.02088</v>
      </c>
      <c r="J60" s="8">
        <f t="shared" si="1"/>
        <v>9.02088</v>
      </c>
      <c r="K60" s="8">
        <f t="shared" si="2"/>
        <v>8.0543571428571425</v>
      </c>
      <c r="L60" s="10">
        <f t="shared" si="3"/>
        <v>8.0543571428571425</v>
      </c>
    </row>
    <row r="61" spans="1:12" x14ac:dyDescent="0.25">
      <c r="A61" t="s">
        <v>130</v>
      </c>
      <c r="B61" t="s">
        <v>131</v>
      </c>
      <c r="C61" s="11">
        <v>1</v>
      </c>
      <c r="D61" s="9">
        <v>26.05</v>
      </c>
      <c r="E61" s="9">
        <v>26.05</v>
      </c>
      <c r="F61" s="9">
        <v>15.94</v>
      </c>
      <c r="G61" s="8">
        <v>22.65</v>
      </c>
      <c r="H61" s="8">
        <v>27.73</v>
      </c>
      <c r="I61" s="8">
        <f t="shared" si="0"/>
        <v>15.942600000000002</v>
      </c>
      <c r="J61" s="8">
        <f t="shared" si="1"/>
        <v>15.942600000000002</v>
      </c>
      <c r="K61" s="8">
        <f t="shared" si="2"/>
        <v>14.234464285714287</v>
      </c>
      <c r="L61" s="10">
        <f t="shared" si="3"/>
        <v>14.234464285714287</v>
      </c>
    </row>
    <row r="62" spans="1:12" x14ac:dyDescent="0.25">
      <c r="A62" t="s">
        <v>132</v>
      </c>
      <c r="B62" t="s">
        <v>133</v>
      </c>
      <c r="C62" s="11">
        <v>1</v>
      </c>
      <c r="D62" s="9">
        <v>20.63</v>
      </c>
      <c r="E62" s="9">
        <v>20.63</v>
      </c>
      <c r="F62" s="9">
        <v>12.63</v>
      </c>
      <c r="G62" s="8">
        <v>17.940000000000001</v>
      </c>
      <c r="H62" s="8">
        <v>21.96</v>
      </c>
      <c r="I62" s="8">
        <f t="shared" si="0"/>
        <v>12.62556</v>
      </c>
      <c r="J62" s="8">
        <f t="shared" si="1"/>
        <v>12.62556</v>
      </c>
      <c r="K62" s="8">
        <f t="shared" si="2"/>
        <v>11.272821428571428</v>
      </c>
      <c r="L62" s="10">
        <f t="shared" si="3"/>
        <v>11.272821428571428</v>
      </c>
    </row>
    <row r="63" spans="1:12" x14ac:dyDescent="0.25">
      <c r="A63" t="s">
        <v>134</v>
      </c>
      <c r="B63" t="s">
        <v>135</v>
      </c>
      <c r="C63" s="11">
        <v>4</v>
      </c>
      <c r="D63" s="9">
        <v>20.100000000000001</v>
      </c>
      <c r="E63" s="9">
        <v>80.400000000000006</v>
      </c>
      <c r="F63" s="9">
        <v>49.2</v>
      </c>
      <c r="G63" s="8">
        <v>17.48</v>
      </c>
      <c r="H63" s="8">
        <v>85.57</v>
      </c>
      <c r="I63" s="8">
        <f t="shared" si="0"/>
        <v>49.204800000000006</v>
      </c>
      <c r="J63" s="8">
        <f t="shared" si="1"/>
        <v>12.301200000000001</v>
      </c>
      <c r="K63" s="8">
        <f t="shared" si="2"/>
        <v>10.983214285714286</v>
      </c>
      <c r="L63" s="10">
        <f t="shared" si="3"/>
        <v>43.932857142857145</v>
      </c>
    </row>
    <row r="64" spans="1:12" x14ac:dyDescent="0.25">
      <c r="A64" t="s">
        <v>136</v>
      </c>
      <c r="B64" t="s">
        <v>137</v>
      </c>
      <c r="C64" s="11">
        <v>1</v>
      </c>
      <c r="D64" s="9">
        <v>20.65</v>
      </c>
      <c r="E64" s="9">
        <v>20.65</v>
      </c>
      <c r="F64" s="9">
        <v>12.64</v>
      </c>
      <c r="G64" s="8">
        <v>17.96</v>
      </c>
      <c r="H64" s="8">
        <v>21.98</v>
      </c>
      <c r="I64" s="8">
        <f t="shared" si="0"/>
        <v>12.6378</v>
      </c>
      <c r="J64" s="8">
        <f t="shared" si="1"/>
        <v>12.6378</v>
      </c>
      <c r="K64" s="8">
        <f t="shared" si="2"/>
        <v>11.28375</v>
      </c>
      <c r="L64" s="10">
        <f t="shared" si="3"/>
        <v>11.28375</v>
      </c>
    </row>
    <row r="65" spans="1:12" x14ac:dyDescent="0.25">
      <c r="A65" t="s">
        <v>138</v>
      </c>
      <c r="B65" t="s">
        <v>139</v>
      </c>
      <c r="C65" s="11">
        <v>3</v>
      </c>
      <c r="D65" s="9">
        <v>20.63</v>
      </c>
      <c r="E65" s="9">
        <v>61.89</v>
      </c>
      <c r="F65" s="9">
        <v>37.880000000000003</v>
      </c>
      <c r="G65" s="8">
        <v>17.940000000000001</v>
      </c>
      <c r="H65" s="8">
        <v>65.88</v>
      </c>
      <c r="I65" s="8">
        <f t="shared" si="0"/>
        <v>37.87668</v>
      </c>
      <c r="J65" s="8">
        <f t="shared" si="1"/>
        <v>12.62556</v>
      </c>
      <c r="K65" s="8">
        <f t="shared" si="2"/>
        <v>11.272821428571428</v>
      </c>
      <c r="L65" s="10">
        <f t="shared" si="3"/>
        <v>33.818464285714285</v>
      </c>
    </row>
    <row r="66" spans="1:12" x14ac:dyDescent="0.25">
      <c r="A66" t="s">
        <v>140</v>
      </c>
      <c r="B66" t="s">
        <v>141</v>
      </c>
      <c r="C66" s="11">
        <v>2</v>
      </c>
      <c r="D66" s="9">
        <v>20.63</v>
      </c>
      <c r="E66" s="9">
        <v>41.26</v>
      </c>
      <c r="F66" s="9">
        <v>25.25</v>
      </c>
      <c r="G66" s="8">
        <v>17.940000000000001</v>
      </c>
      <c r="H66" s="8">
        <v>43.92</v>
      </c>
      <c r="I66" s="8">
        <f t="shared" ref="I66:I118" si="4">+E66*61.2/100</f>
        <v>25.25112</v>
      </c>
      <c r="J66" s="8">
        <f t="shared" ref="J66:J118" si="5">+D66*61.2/100</f>
        <v>12.62556</v>
      </c>
      <c r="K66" s="8">
        <f t="shared" ref="K66:K118" si="6">+J66/1.12</f>
        <v>11.272821428571428</v>
      </c>
      <c r="L66" s="10">
        <f t="shared" ref="L66:L118" si="7">+K66*C66</f>
        <v>22.545642857142855</v>
      </c>
    </row>
    <row r="67" spans="1:12" x14ac:dyDescent="0.25">
      <c r="A67" t="s">
        <v>142</v>
      </c>
      <c r="B67" t="s">
        <v>143</v>
      </c>
      <c r="C67" s="11">
        <v>9</v>
      </c>
      <c r="D67" s="9">
        <v>19.420000000000002</v>
      </c>
      <c r="E67" s="9">
        <v>174.75</v>
      </c>
      <c r="F67" s="9">
        <v>106.95</v>
      </c>
      <c r="G67" s="8">
        <v>16.88</v>
      </c>
      <c r="H67" s="8">
        <v>185.99</v>
      </c>
      <c r="I67" s="8">
        <f t="shared" si="4"/>
        <v>106.947</v>
      </c>
      <c r="J67" s="8">
        <f t="shared" si="5"/>
        <v>11.885040000000002</v>
      </c>
      <c r="K67" s="8">
        <f t="shared" si="6"/>
        <v>10.611642857142858</v>
      </c>
      <c r="L67" s="10">
        <f t="shared" si="7"/>
        <v>95.504785714285717</v>
      </c>
    </row>
    <row r="68" spans="1:12" x14ac:dyDescent="0.25">
      <c r="A68" t="s">
        <v>144</v>
      </c>
      <c r="B68" t="s">
        <v>145</v>
      </c>
      <c r="C68" s="11">
        <v>2</v>
      </c>
      <c r="D68" s="9">
        <v>20.65</v>
      </c>
      <c r="E68" s="9">
        <v>41.31</v>
      </c>
      <c r="F68" s="9">
        <v>25.28</v>
      </c>
      <c r="G68" s="8">
        <v>17.96</v>
      </c>
      <c r="H68" s="8">
        <v>43.97</v>
      </c>
      <c r="I68" s="8">
        <f t="shared" si="4"/>
        <v>25.281720000000004</v>
      </c>
      <c r="J68" s="8">
        <f t="shared" si="5"/>
        <v>12.6378</v>
      </c>
      <c r="K68" s="8">
        <f t="shared" si="6"/>
        <v>11.28375</v>
      </c>
      <c r="L68" s="10">
        <f t="shared" si="7"/>
        <v>22.567499999999999</v>
      </c>
    </row>
    <row r="69" spans="1:12" x14ac:dyDescent="0.25">
      <c r="A69" t="s">
        <v>146</v>
      </c>
      <c r="B69" t="s">
        <v>147</v>
      </c>
      <c r="C69" s="11">
        <v>1</v>
      </c>
      <c r="D69" s="9">
        <v>12.95</v>
      </c>
      <c r="E69" s="9">
        <v>12.95</v>
      </c>
      <c r="F69" s="9">
        <v>7.92</v>
      </c>
      <c r="G69" s="8">
        <v>11.26</v>
      </c>
      <c r="H69" s="8">
        <v>13.78</v>
      </c>
      <c r="I69" s="8">
        <f t="shared" si="4"/>
        <v>7.9253999999999998</v>
      </c>
      <c r="J69" s="8">
        <f t="shared" si="5"/>
        <v>7.9253999999999998</v>
      </c>
      <c r="K69" s="8">
        <f t="shared" si="6"/>
        <v>7.076249999999999</v>
      </c>
      <c r="L69" s="10">
        <f t="shared" si="7"/>
        <v>7.076249999999999</v>
      </c>
    </row>
    <row r="70" spans="1:12" x14ac:dyDescent="0.25">
      <c r="A70" t="s">
        <v>148</v>
      </c>
      <c r="B70" t="s">
        <v>149</v>
      </c>
      <c r="C70" s="11">
        <v>1</v>
      </c>
      <c r="D70" s="9">
        <v>12.19</v>
      </c>
      <c r="E70" s="9">
        <v>12.19</v>
      </c>
      <c r="F70" s="9">
        <v>7.46</v>
      </c>
      <c r="G70" s="8">
        <v>10.6</v>
      </c>
      <c r="H70" s="8">
        <v>12.97</v>
      </c>
      <c r="I70" s="8">
        <f t="shared" si="4"/>
        <v>7.46028</v>
      </c>
      <c r="J70" s="8">
        <f t="shared" si="5"/>
        <v>7.46028</v>
      </c>
      <c r="K70" s="8">
        <f t="shared" si="6"/>
        <v>6.660964285714285</v>
      </c>
      <c r="L70" s="10">
        <f t="shared" si="7"/>
        <v>6.660964285714285</v>
      </c>
    </row>
    <row r="71" spans="1:12" x14ac:dyDescent="0.25">
      <c r="A71" t="s">
        <v>150</v>
      </c>
      <c r="B71" t="s">
        <v>151</v>
      </c>
      <c r="C71" s="11">
        <v>1</v>
      </c>
      <c r="D71" s="9">
        <v>12.95</v>
      </c>
      <c r="E71" s="9">
        <v>12.95</v>
      </c>
      <c r="F71" s="9">
        <v>7.92</v>
      </c>
      <c r="G71" s="8">
        <v>11.26</v>
      </c>
      <c r="H71" s="8">
        <v>13.78</v>
      </c>
      <c r="I71" s="8">
        <f t="shared" si="4"/>
        <v>7.9253999999999998</v>
      </c>
      <c r="J71" s="8">
        <f t="shared" si="5"/>
        <v>7.9253999999999998</v>
      </c>
      <c r="K71" s="8">
        <f t="shared" si="6"/>
        <v>7.076249999999999</v>
      </c>
      <c r="L71" s="10">
        <f t="shared" si="7"/>
        <v>7.076249999999999</v>
      </c>
    </row>
    <row r="72" spans="1:12" x14ac:dyDescent="0.25">
      <c r="A72" t="s">
        <v>152</v>
      </c>
      <c r="B72" t="s">
        <v>153</v>
      </c>
      <c r="C72" s="11">
        <v>2</v>
      </c>
      <c r="D72" s="9">
        <v>12.95</v>
      </c>
      <c r="E72" s="9">
        <v>25.9</v>
      </c>
      <c r="F72" s="9">
        <v>15.85</v>
      </c>
      <c r="G72" s="8">
        <v>11.26</v>
      </c>
      <c r="H72" s="8">
        <v>27.56</v>
      </c>
      <c r="I72" s="8">
        <f t="shared" si="4"/>
        <v>15.8508</v>
      </c>
      <c r="J72" s="8">
        <f t="shared" si="5"/>
        <v>7.9253999999999998</v>
      </c>
      <c r="K72" s="8">
        <f t="shared" si="6"/>
        <v>7.076249999999999</v>
      </c>
      <c r="L72" s="10">
        <f t="shared" si="7"/>
        <v>14.152499999999998</v>
      </c>
    </row>
    <row r="73" spans="1:12" x14ac:dyDescent="0.25">
      <c r="A73" t="s">
        <v>154</v>
      </c>
      <c r="B73" t="s">
        <v>155</v>
      </c>
      <c r="C73" s="11">
        <v>1</v>
      </c>
      <c r="D73" s="9">
        <v>14.95</v>
      </c>
      <c r="E73" s="9">
        <v>14.95</v>
      </c>
      <c r="F73" s="9">
        <v>9.15</v>
      </c>
      <c r="G73" s="8">
        <v>13</v>
      </c>
      <c r="H73" s="8">
        <v>15.91</v>
      </c>
      <c r="I73" s="8">
        <f t="shared" si="4"/>
        <v>9.1494</v>
      </c>
      <c r="J73" s="8">
        <f t="shared" si="5"/>
        <v>9.1494</v>
      </c>
      <c r="K73" s="8">
        <f t="shared" si="6"/>
        <v>8.1691071428571416</v>
      </c>
      <c r="L73" s="10">
        <f t="shared" si="7"/>
        <v>8.1691071428571416</v>
      </c>
    </row>
    <row r="74" spans="1:12" x14ac:dyDescent="0.25">
      <c r="A74" t="s">
        <v>156</v>
      </c>
      <c r="B74" t="s">
        <v>157</v>
      </c>
      <c r="C74" s="11">
        <v>1</v>
      </c>
      <c r="D74" s="9">
        <v>14.95</v>
      </c>
      <c r="E74" s="9">
        <v>14.95</v>
      </c>
      <c r="F74" s="9">
        <v>9.15</v>
      </c>
      <c r="G74" s="8">
        <v>13</v>
      </c>
      <c r="H74" s="8">
        <v>15.91</v>
      </c>
      <c r="I74" s="8">
        <f t="shared" si="4"/>
        <v>9.1494</v>
      </c>
      <c r="J74" s="8">
        <f t="shared" si="5"/>
        <v>9.1494</v>
      </c>
      <c r="K74" s="8">
        <f t="shared" si="6"/>
        <v>8.1691071428571416</v>
      </c>
      <c r="L74" s="10">
        <f t="shared" si="7"/>
        <v>8.1691071428571416</v>
      </c>
    </row>
    <row r="75" spans="1:12" x14ac:dyDescent="0.25">
      <c r="A75" t="s">
        <v>158</v>
      </c>
      <c r="B75" t="s">
        <v>159</v>
      </c>
      <c r="C75" s="11">
        <v>1</v>
      </c>
      <c r="D75" s="9">
        <v>14.95</v>
      </c>
      <c r="E75" s="9">
        <v>14.95</v>
      </c>
      <c r="F75" s="9">
        <v>9.15</v>
      </c>
      <c r="G75" s="8">
        <v>13</v>
      </c>
      <c r="H75" s="8">
        <v>15.91</v>
      </c>
      <c r="I75" s="8">
        <f t="shared" si="4"/>
        <v>9.1494</v>
      </c>
      <c r="J75" s="8">
        <f t="shared" si="5"/>
        <v>9.1494</v>
      </c>
      <c r="K75" s="8">
        <f t="shared" si="6"/>
        <v>8.1691071428571416</v>
      </c>
      <c r="L75" s="10">
        <f t="shared" si="7"/>
        <v>8.1691071428571416</v>
      </c>
    </row>
    <row r="76" spans="1:12" x14ac:dyDescent="0.25">
      <c r="A76" t="s">
        <v>160</v>
      </c>
      <c r="B76" t="s">
        <v>161</v>
      </c>
      <c r="C76" s="11">
        <v>1</v>
      </c>
      <c r="D76" s="9">
        <v>17.95</v>
      </c>
      <c r="E76" s="9">
        <v>17.95</v>
      </c>
      <c r="F76" s="9">
        <v>10.99</v>
      </c>
      <c r="G76" s="8">
        <v>15.61</v>
      </c>
      <c r="H76" s="8">
        <v>19.11</v>
      </c>
      <c r="I76" s="8">
        <f t="shared" si="4"/>
        <v>10.9854</v>
      </c>
      <c r="J76" s="8">
        <f t="shared" si="5"/>
        <v>10.9854</v>
      </c>
      <c r="K76" s="8">
        <f t="shared" si="6"/>
        <v>9.8083928571428558</v>
      </c>
      <c r="L76" s="10">
        <f t="shared" si="7"/>
        <v>9.8083928571428558</v>
      </c>
    </row>
    <row r="77" spans="1:12" x14ac:dyDescent="0.25">
      <c r="A77" t="s">
        <v>162</v>
      </c>
      <c r="B77" t="s">
        <v>163</v>
      </c>
      <c r="C77" s="11">
        <v>1</v>
      </c>
      <c r="D77" s="9">
        <v>17.95</v>
      </c>
      <c r="E77" s="9">
        <v>17.95</v>
      </c>
      <c r="F77" s="9">
        <v>10.99</v>
      </c>
      <c r="G77" s="8">
        <v>15.61</v>
      </c>
      <c r="H77" s="8">
        <v>19.11</v>
      </c>
      <c r="I77" s="8">
        <f t="shared" si="4"/>
        <v>10.9854</v>
      </c>
      <c r="J77" s="8">
        <f t="shared" si="5"/>
        <v>10.9854</v>
      </c>
      <c r="K77" s="8">
        <f t="shared" si="6"/>
        <v>9.8083928571428558</v>
      </c>
      <c r="L77" s="10">
        <f t="shared" si="7"/>
        <v>9.8083928571428558</v>
      </c>
    </row>
    <row r="78" spans="1:12" x14ac:dyDescent="0.25">
      <c r="A78" t="s">
        <v>164</v>
      </c>
      <c r="B78" t="s">
        <v>165</v>
      </c>
      <c r="C78" s="11">
        <v>1</v>
      </c>
      <c r="D78" s="9">
        <v>39</v>
      </c>
      <c r="E78" s="9">
        <v>39</v>
      </c>
      <c r="F78" s="9">
        <v>23.87</v>
      </c>
      <c r="G78" s="8">
        <v>33.909999999999997</v>
      </c>
      <c r="H78" s="8">
        <v>41.51</v>
      </c>
      <c r="I78" s="8">
        <f t="shared" si="4"/>
        <v>23.868000000000002</v>
      </c>
      <c r="J78" s="8">
        <f t="shared" si="5"/>
        <v>23.868000000000002</v>
      </c>
      <c r="K78" s="8">
        <f t="shared" si="6"/>
        <v>21.310714285714287</v>
      </c>
      <c r="L78" s="10">
        <f t="shared" si="7"/>
        <v>21.310714285714287</v>
      </c>
    </row>
    <row r="79" spans="1:12" x14ac:dyDescent="0.25">
      <c r="A79" t="s">
        <v>166</v>
      </c>
      <c r="B79" t="s">
        <v>167</v>
      </c>
      <c r="C79" s="11">
        <v>1</v>
      </c>
      <c r="D79" s="9">
        <v>27.85</v>
      </c>
      <c r="E79" s="9">
        <v>27.85</v>
      </c>
      <c r="F79" s="9">
        <v>17.05</v>
      </c>
      <c r="G79" s="8">
        <v>24.22</v>
      </c>
      <c r="H79" s="8">
        <v>29.65</v>
      </c>
      <c r="I79" s="8">
        <f t="shared" si="4"/>
        <v>17.0442</v>
      </c>
      <c r="J79" s="8">
        <f t="shared" si="5"/>
        <v>17.0442</v>
      </c>
      <c r="K79" s="8">
        <f t="shared" si="6"/>
        <v>15.218035714285714</v>
      </c>
      <c r="L79" s="10">
        <f t="shared" si="7"/>
        <v>15.218035714285714</v>
      </c>
    </row>
    <row r="80" spans="1:12" x14ac:dyDescent="0.25">
      <c r="A80" t="s">
        <v>168</v>
      </c>
      <c r="B80" t="s">
        <v>169</v>
      </c>
      <c r="C80" s="11">
        <v>1</v>
      </c>
      <c r="D80" s="9">
        <v>27.85</v>
      </c>
      <c r="E80" s="9">
        <v>27.85</v>
      </c>
      <c r="F80" s="9">
        <v>17.05</v>
      </c>
      <c r="G80" s="8">
        <v>24.22</v>
      </c>
      <c r="H80" s="8">
        <v>29.65</v>
      </c>
      <c r="I80" s="8">
        <f t="shared" si="4"/>
        <v>17.0442</v>
      </c>
      <c r="J80" s="8">
        <f t="shared" si="5"/>
        <v>17.0442</v>
      </c>
      <c r="K80" s="8">
        <f t="shared" si="6"/>
        <v>15.218035714285714</v>
      </c>
      <c r="L80" s="10">
        <f t="shared" si="7"/>
        <v>15.218035714285714</v>
      </c>
    </row>
    <row r="81" spans="1:12" x14ac:dyDescent="0.25">
      <c r="A81" t="s">
        <v>170</v>
      </c>
      <c r="B81" t="s">
        <v>171</v>
      </c>
      <c r="C81" s="11">
        <v>1</v>
      </c>
      <c r="D81" s="9">
        <v>15.26</v>
      </c>
      <c r="E81" s="9">
        <v>15.26</v>
      </c>
      <c r="F81" s="9">
        <v>9.34</v>
      </c>
      <c r="G81" s="8">
        <v>13.27</v>
      </c>
      <c r="H81" s="8">
        <v>16.239999999999998</v>
      </c>
      <c r="I81" s="8">
        <f t="shared" si="4"/>
        <v>9.3391200000000012</v>
      </c>
      <c r="J81" s="8">
        <f t="shared" si="5"/>
        <v>9.3391200000000012</v>
      </c>
      <c r="K81" s="8">
        <f t="shared" si="6"/>
        <v>8.3384999999999998</v>
      </c>
      <c r="L81" s="10">
        <f t="shared" si="7"/>
        <v>8.3384999999999998</v>
      </c>
    </row>
    <row r="82" spans="1:12" x14ac:dyDescent="0.25">
      <c r="A82" t="s">
        <v>172</v>
      </c>
      <c r="B82" t="s">
        <v>173</v>
      </c>
      <c r="C82" s="11">
        <v>3</v>
      </c>
      <c r="D82" s="9">
        <v>15.26</v>
      </c>
      <c r="E82" s="9">
        <v>45.78</v>
      </c>
      <c r="F82" s="9">
        <v>28.02</v>
      </c>
      <c r="G82" s="8">
        <v>13.27</v>
      </c>
      <c r="H82" s="8">
        <v>48.73</v>
      </c>
      <c r="I82" s="8">
        <f t="shared" si="4"/>
        <v>28.017360000000004</v>
      </c>
      <c r="J82" s="8">
        <f t="shared" si="5"/>
        <v>9.3391200000000012</v>
      </c>
      <c r="K82" s="8">
        <f t="shared" si="6"/>
        <v>8.3384999999999998</v>
      </c>
      <c r="L82" s="10">
        <f t="shared" si="7"/>
        <v>25.015499999999999</v>
      </c>
    </row>
    <row r="83" spans="1:12" x14ac:dyDescent="0.25">
      <c r="A83" t="s">
        <v>174</v>
      </c>
      <c r="B83" t="s">
        <v>175</v>
      </c>
      <c r="C83" s="11">
        <v>1</v>
      </c>
      <c r="D83" s="9">
        <v>14.35</v>
      </c>
      <c r="E83" s="9">
        <v>14.35</v>
      </c>
      <c r="F83" s="9">
        <v>8.7799999999999994</v>
      </c>
      <c r="G83" s="8">
        <v>12.48</v>
      </c>
      <c r="H83" s="8">
        <v>15.28</v>
      </c>
      <c r="I83" s="8">
        <f t="shared" si="4"/>
        <v>8.7821999999999996</v>
      </c>
      <c r="J83" s="8">
        <f t="shared" si="5"/>
        <v>8.7821999999999996</v>
      </c>
      <c r="K83" s="8">
        <f t="shared" si="6"/>
        <v>7.8412499999999987</v>
      </c>
      <c r="L83" s="10">
        <f t="shared" si="7"/>
        <v>7.8412499999999987</v>
      </c>
    </row>
    <row r="84" spans="1:12" x14ac:dyDescent="0.25">
      <c r="A84" t="s">
        <v>176</v>
      </c>
      <c r="B84" t="s">
        <v>177</v>
      </c>
      <c r="C84" s="11">
        <v>2</v>
      </c>
      <c r="D84" s="9">
        <v>11.65</v>
      </c>
      <c r="E84" s="9">
        <v>23.3</v>
      </c>
      <c r="F84" s="9">
        <v>14.26</v>
      </c>
      <c r="G84" s="8">
        <v>10.130000000000001</v>
      </c>
      <c r="H84" s="8">
        <v>24.8</v>
      </c>
      <c r="I84" s="8">
        <f t="shared" si="4"/>
        <v>14.259600000000001</v>
      </c>
      <c r="J84" s="8">
        <f t="shared" si="5"/>
        <v>7.1298000000000004</v>
      </c>
      <c r="K84" s="8">
        <f t="shared" si="6"/>
        <v>6.3658928571428568</v>
      </c>
      <c r="L84" s="10">
        <f t="shared" si="7"/>
        <v>12.731785714285714</v>
      </c>
    </row>
    <row r="85" spans="1:12" x14ac:dyDescent="0.25">
      <c r="A85" t="s">
        <v>178</v>
      </c>
      <c r="B85" t="s">
        <v>179</v>
      </c>
      <c r="C85" s="11">
        <v>2</v>
      </c>
      <c r="D85" s="9">
        <v>14.35</v>
      </c>
      <c r="E85" s="9">
        <v>28.7</v>
      </c>
      <c r="F85" s="9">
        <v>17.57</v>
      </c>
      <c r="G85" s="8">
        <v>12.48</v>
      </c>
      <c r="H85" s="8">
        <v>30.55</v>
      </c>
      <c r="I85" s="8">
        <f t="shared" si="4"/>
        <v>17.564399999999999</v>
      </c>
      <c r="J85" s="8">
        <f t="shared" si="5"/>
        <v>8.7821999999999996</v>
      </c>
      <c r="K85" s="8">
        <f t="shared" si="6"/>
        <v>7.8412499999999987</v>
      </c>
      <c r="L85" s="10">
        <f t="shared" si="7"/>
        <v>15.682499999999997</v>
      </c>
    </row>
    <row r="86" spans="1:12" x14ac:dyDescent="0.25">
      <c r="A86" t="s">
        <v>180</v>
      </c>
      <c r="B86" t="s">
        <v>181</v>
      </c>
      <c r="C86" s="11">
        <v>1</v>
      </c>
      <c r="D86" s="9">
        <v>14.35</v>
      </c>
      <c r="E86" s="9">
        <v>14.35</v>
      </c>
      <c r="F86" s="9">
        <v>8.7799999999999994</v>
      </c>
      <c r="G86" s="8">
        <v>12.48</v>
      </c>
      <c r="H86" s="8">
        <v>15.28</v>
      </c>
      <c r="I86" s="8">
        <f t="shared" si="4"/>
        <v>8.7821999999999996</v>
      </c>
      <c r="J86" s="8">
        <f t="shared" si="5"/>
        <v>8.7821999999999996</v>
      </c>
      <c r="K86" s="8">
        <f t="shared" si="6"/>
        <v>7.8412499999999987</v>
      </c>
      <c r="L86" s="10">
        <f t="shared" si="7"/>
        <v>7.8412499999999987</v>
      </c>
    </row>
    <row r="87" spans="1:12" x14ac:dyDescent="0.25">
      <c r="A87" t="s">
        <v>182</v>
      </c>
      <c r="B87" t="s">
        <v>183</v>
      </c>
      <c r="C87" s="11">
        <v>1</v>
      </c>
      <c r="D87" s="9">
        <v>14.35</v>
      </c>
      <c r="E87" s="9">
        <v>14.35</v>
      </c>
      <c r="F87" s="9">
        <v>8.7799999999999994</v>
      </c>
      <c r="G87" s="8">
        <v>12.48</v>
      </c>
      <c r="H87" s="8">
        <v>15.28</v>
      </c>
      <c r="I87" s="8">
        <f t="shared" si="4"/>
        <v>8.7821999999999996</v>
      </c>
      <c r="J87" s="8">
        <f t="shared" si="5"/>
        <v>8.7821999999999996</v>
      </c>
      <c r="K87" s="8">
        <f t="shared" si="6"/>
        <v>7.8412499999999987</v>
      </c>
      <c r="L87" s="10">
        <f t="shared" si="7"/>
        <v>7.8412499999999987</v>
      </c>
    </row>
    <row r="88" spans="1:12" x14ac:dyDescent="0.25">
      <c r="A88" t="s">
        <v>184</v>
      </c>
      <c r="B88" t="s">
        <v>185</v>
      </c>
      <c r="C88" s="11">
        <v>1</v>
      </c>
      <c r="D88" s="9">
        <v>14.35</v>
      </c>
      <c r="E88" s="9">
        <v>14.35</v>
      </c>
      <c r="F88" s="9">
        <v>8.7799999999999994</v>
      </c>
      <c r="G88" s="8">
        <v>12.48</v>
      </c>
      <c r="H88" s="8">
        <v>15.28</v>
      </c>
      <c r="I88" s="8">
        <f t="shared" si="4"/>
        <v>8.7821999999999996</v>
      </c>
      <c r="J88" s="8">
        <f t="shared" si="5"/>
        <v>8.7821999999999996</v>
      </c>
      <c r="K88" s="8">
        <f t="shared" si="6"/>
        <v>7.8412499999999987</v>
      </c>
      <c r="L88" s="10">
        <f t="shared" si="7"/>
        <v>7.8412499999999987</v>
      </c>
    </row>
    <row r="89" spans="1:12" x14ac:dyDescent="0.25">
      <c r="A89" t="s">
        <v>186</v>
      </c>
      <c r="B89" t="s">
        <v>187</v>
      </c>
      <c r="C89" s="11">
        <v>2</v>
      </c>
      <c r="D89" s="9">
        <v>13.01</v>
      </c>
      <c r="E89" s="9">
        <v>26.02</v>
      </c>
      <c r="F89" s="9">
        <v>15.92</v>
      </c>
      <c r="G89" s="8">
        <v>11.31</v>
      </c>
      <c r="H89" s="8">
        <v>27.69</v>
      </c>
      <c r="I89" s="8">
        <f t="shared" si="4"/>
        <v>15.924239999999999</v>
      </c>
      <c r="J89" s="8">
        <f t="shared" si="5"/>
        <v>7.9621199999999996</v>
      </c>
      <c r="K89" s="8">
        <f t="shared" si="6"/>
        <v>7.1090357142857137</v>
      </c>
      <c r="L89" s="10">
        <f t="shared" si="7"/>
        <v>14.218071428571427</v>
      </c>
    </row>
    <row r="90" spans="1:12" x14ac:dyDescent="0.25">
      <c r="A90" t="s">
        <v>188</v>
      </c>
      <c r="B90" t="s">
        <v>189</v>
      </c>
      <c r="C90" s="11">
        <v>1</v>
      </c>
      <c r="D90" s="9">
        <v>15.26</v>
      </c>
      <c r="E90" s="9">
        <v>15.26</v>
      </c>
      <c r="F90" s="9">
        <v>9.34</v>
      </c>
      <c r="G90" s="8">
        <v>13.27</v>
      </c>
      <c r="H90" s="8">
        <v>16.239999999999998</v>
      </c>
      <c r="I90" s="8">
        <f t="shared" si="4"/>
        <v>9.3391200000000012</v>
      </c>
      <c r="J90" s="8">
        <f t="shared" si="5"/>
        <v>9.3391200000000012</v>
      </c>
      <c r="K90" s="8">
        <f t="shared" si="6"/>
        <v>8.3384999999999998</v>
      </c>
      <c r="L90" s="10">
        <f t="shared" si="7"/>
        <v>8.3384999999999998</v>
      </c>
    </row>
    <row r="91" spans="1:12" x14ac:dyDescent="0.25">
      <c r="A91" t="s">
        <v>190</v>
      </c>
      <c r="B91" t="s">
        <v>191</v>
      </c>
      <c r="C91" s="11">
        <v>2</v>
      </c>
      <c r="D91" s="9">
        <v>15.26</v>
      </c>
      <c r="E91" s="9">
        <v>30.52</v>
      </c>
      <c r="F91" s="9">
        <v>18.68</v>
      </c>
      <c r="G91" s="8">
        <v>13.27</v>
      </c>
      <c r="H91" s="8">
        <v>32.49</v>
      </c>
      <c r="I91" s="8">
        <f t="shared" si="4"/>
        <v>18.678240000000002</v>
      </c>
      <c r="J91" s="8">
        <f t="shared" si="5"/>
        <v>9.3391200000000012</v>
      </c>
      <c r="K91" s="8">
        <f t="shared" si="6"/>
        <v>8.3384999999999998</v>
      </c>
      <c r="L91" s="10">
        <f t="shared" si="7"/>
        <v>16.677</v>
      </c>
    </row>
    <row r="92" spans="1:12" x14ac:dyDescent="0.25">
      <c r="A92" t="s">
        <v>192</v>
      </c>
      <c r="B92" t="s">
        <v>187</v>
      </c>
      <c r="C92" s="11">
        <v>2</v>
      </c>
      <c r="D92" s="9">
        <v>15.26</v>
      </c>
      <c r="E92" s="9">
        <v>30.52</v>
      </c>
      <c r="F92" s="9">
        <v>18.68</v>
      </c>
      <c r="G92" s="8">
        <v>13.27</v>
      </c>
      <c r="H92" s="8">
        <v>32.49</v>
      </c>
      <c r="I92" s="8">
        <f t="shared" si="4"/>
        <v>18.678240000000002</v>
      </c>
      <c r="J92" s="8">
        <f t="shared" si="5"/>
        <v>9.3391200000000012</v>
      </c>
      <c r="K92" s="8">
        <f t="shared" si="6"/>
        <v>8.3384999999999998</v>
      </c>
      <c r="L92" s="10">
        <f t="shared" si="7"/>
        <v>16.677</v>
      </c>
    </row>
    <row r="93" spans="1:12" x14ac:dyDescent="0.25">
      <c r="A93" t="s">
        <v>193</v>
      </c>
      <c r="B93" t="s">
        <v>189</v>
      </c>
      <c r="C93" s="11">
        <v>2</v>
      </c>
      <c r="D93" s="9">
        <v>13.01</v>
      </c>
      <c r="E93" s="9">
        <v>26.02</v>
      </c>
      <c r="F93" s="9">
        <v>15.92</v>
      </c>
      <c r="G93" s="8">
        <v>11.31</v>
      </c>
      <c r="H93" s="8">
        <v>27.69</v>
      </c>
      <c r="I93" s="8">
        <f t="shared" si="4"/>
        <v>15.924239999999999</v>
      </c>
      <c r="J93" s="8">
        <f t="shared" si="5"/>
        <v>7.9621199999999996</v>
      </c>
      <c r="K93" s="8">
        <f t="shared" si="6"/>
        <v>7.1090357142857137</v>
      </c>
      <c r="L93" s="10">
        <f t="shared" si="7"/>
        <v>14.218071428571427</v>
      </c>
    </row>
    <row r="94" spans="1:12" x14ac:dyDescent="0.25">
      <c r="A94" t="s">
        <v>194</v>
      </c>
      <c r="B94" t="s">
        <v>195</v>
      </c>
      <c r="C94" s="11">
        <v>1</v>
      </c>
      <c r="D94" s="9">
        <v>15.26</v>
      </c>
      <c r="E94" s="9">
        <v>15.26</v>
      </c>
      <c r="F94" s="9">
        <v>9.34</v>
      </c>
      <c r="G94" s="8">
        <v>13.27</v>
      </c>
      <c r="H94" s="8">
        <v>16.239999999999998</v>
      </c>
      <c r="I94" s="8">
        <f t="shared" si="4"/>
        <v>9.3391200000000012</v>
      </c>
      <c r="J94" s="8">
        <f t="shared" si="5"/>
        <v>9.3391200000000012</v>
      </c>
      <c r="K94" s="8">
        <f t="shared" si="6"/>
        <v>8.3384999999999998</v>
      </c>
      <c r="L94" s="10">
        <f t="shared" si="7"/>
        <v>8.3384999999999998</v>
      </c>
    </row>
    <row r="95" spans="1:12" x14ac:dyDescent="0.25">
      <c r="A95" t="s">
        <v>196</v>
      </c>
      <c r="B95" t="s">
        <v>191</v>
      </c>
      <c r="C95" s="8">
        <v>4</v>
      </c>
      <c r="D95" s="9">
        <v>15.26</v>
      </c>
      <c r="E95" s="9">
        <v>61.04</v>
      </c>
      <c r="F95" s="9">
        <v>37.36</v>
      </c>
      <c r="G95" s="8">
        <v>13.27</v>
      </c>
      <c r="H95" s="8">
        <v>64.97</v>
      </c>
      <c r="I95" s="8">
        <f t="shared" si="4"/>
        <v>37.356480000000005</v>
      </c>
      <c r="J95" s="8">
        <f t="shared" si="5"/>
        <v>9.3391200000000012</v>
      </c>
      <c r="K95" s="8">
        <f t="shared" si="6"/>
        <v>8.3384999999999998</v>
      </c>
      <c r="L95" s="10">
        <f t="shared" si="7"/>
        <v>33.353999999999999</v>
      </c>
    </row>
    <row r="96" spans="1:12" x14ac:dyDescent="0.25">
      <c r="A96" t="s">
        <v>197</v>
      </c>
      <c r="B96" t="s">
        <v>198</v>
      </c>
      <c r="C96" s="11">
        <v>1</v>
      </c>
      <c r="D96" s="9">
        <v>26.05</v>
      </c>
      <c r="E96" s="9">
        <v>26.05</v>
      </c>
      <c r="F96" s="12">
        <v>15.94</v>
      </c>
      <c r="G96" s="13">
        <v>22.65</v>
      </c>
      <c r="H96" s="13">
        <v>27.72</v>
      </c>
      <c r="I96" s="8">
        <f t="shared" si="4"/>
        <v>15.942600000000002</v>
      </c>
      <c r="J96" s="8">
        <f t="shared" si="5"/>
        <v>15.942600000000002</v>
      </c>
      <c r="K96" s="8">
        <f t="shared" si="6"/>
        <v>14.234464285714287</v>
      </c>
      <c r="L96" s="10">
        <f t="shared" si="7"/>
        <v>14.234464285714287</v>
      </c>
    </row>
    <row r="97" spans="1:12" x14ac:dyDescent="0.25">
      <c r="A97" t="s">
        <v>199</v>
      </c>
      <c r="B97" t="s">
        <v>200</v>
      </c>
      <c r="C97" s="11">
        <v>1</v>
      </c>
      <c r="D97" s="9">
        <v>28.95</v>
      </c>
      <c r="E97" s="9">
        <v>28.95</v>
      </c>
      <c r="F97" s="12">
        <v>17.71</v>
      </c>
      <c r="G97" s="13">
        <v>25.17</v>
      </c>
      <c r="H97" s="13">
        <v>30.81</v>
      </c>
      <c r="I97" s="8">
        <f t="shared" si="4"/>
        <v>17.717400000000001</v>
      </c>
      <c r="J97" s="8">
        <f t="shared" si="5"/>
        <v>17.717400000000001</v>
      </c>
      <c r="K97" s="8">
        <f t="shared" si="6"/>
        <v>15.819107142857142</v>
      </c>
      <c r="L97" s="10">
        <f t="shared" si="7"/>
        <v>15.819107142857142</v>
      </c>
    </row>
    <row r="98" spans="1:12" x14ac:dyDescent="0.25">
      <c r="A98" t="s">
        <v>201</v>
      </c>
      <c r="B98" t="s">
        <v>202</v>
      </c>
      <c r="C98" s="11">
        <v>2</v>
      </c>
      <c r="D98" s="9">
        <v>26.05</v>
      </c>
      <c r="E98" s="9">
        <v>52.1</v>
      </c>
      <c r="F98" s="9">
        <v>31.88</v>
      </c>
      <c r="G98" s="8">
        <v>22.65</v>
      </c>
      <c r="H98" s="8">
        <v>55.45</v>
      </c>
      <c r="I98" s="8">
        <f t="shared" si="4"/>
        <v>31.885200000000005</v>
      </c>
      <c r="J98" s="8">
        <f t="shared" si="5"/>
        <v>15.942600000000002</v>
      </c>
      <c r="K98" s="8">
        <f t="shared" si="6"/>
        <v>14.234464285714287</v>
      </c>
      <c r="L98" s="10">
        <f t="shared" si="7"/>
        <v>28.468928571428574</v>
      </c>
    </row>
    <row r="99" spans="1:12" x14ac:dyDescent="0.25">
      <c r="A99" t="s">
        <v>203</v>
      </c>
      <c r="B99" t="s">
        <v>204</v>
      </c>
      <c r="C99" s="11">
        <v>5</v>
      </c>
      <c r="D99" s="9">
        <v>13.91</v>
      </c>
      <c r="E99" s="9">
        <v>69.53</v>
      </c>
      <c r="F99" s="9">
        <v>42.55</v>
      </c>
      <c r="G99" s="8">
        <v>12.09</v>
      </c>
      <c r="H99" s="8">
        <v>74</v>
      </c>
      <c r="I99" s="8">
        <f t="shared" si="4"/>
        <v>42.55236</v>
      </c>
      <c r="J99" s="8">
        <f t="shared" si="5"/>
        <v>8.5129200000000012</v>
      </c>
      <c r="K99" s="8">
        <f t="shared" si="6"/>
        <v>7.6008214285714288</v>
      </c>
      <c r="L99" s="10">
        <f t="shared" si="7"/>
        <v>38.004107142857144</v>
      </c>
    </row>
    <row r="100" spans="1:12" x14ac:dyDescent="0.25">
      <c r="A100" t="s">
        <v>205</v>
      </c>
      <c r="B100" t="s">
        <v>206</v>
      </c>
      <c r="C100" s="11">
        <v>3</v>
      </c>
      <c r="D100" s="9">
        <v>11.69</v>
      </c>
      <c r="E100" s="9">
        <v>35.06</v>
      </c>
      <c r="F100" s="9">
        <v>21.46</v>
      </c>
      <c r="G100" s="8">
        <v>10.16</v>
      </c>
      <c r="H100" s="8">
        <v>37.32</v>
      </c>
      <c r="I100" s="8">
        <f t="shared" si="4"/>
        <v>21.456720000000001</v>
      </c>
      <c r="J100" s="8">
        <f t="shared" si="5"/>
        <v>7.15428</v>
      </c>
      <c r="K100" s="8">
        <f t="shared" si="6"/>
        <v>6.3877499999999996</v>
      </c>
      <c r="L100" s="10">
        <f t="shared" si="7"/>
        <v>19.163249999999998</v>
      </c>
    </row>
    <row r="101" spans="1:12" x14ac:dyDescent="0.25">
      <c r="A101" t="s">
        <v>207</v>
      </c>
      <c r="B101" t="s">
        <v>208</v>
      </c>
      <c r="C101" s="11">
        <v>2</v>
      </c>
      <c r="D101" s="9">
        <v>12.73</v>
      </c>
      <c r="E101" s="9">
        <v>25.47</v>
      </c>
      <c r="F101" s="9">
        <v>15.59</v>
      </c>
      <c r="G101" s="8">
        <v>11.07</v>
      </c>
      <c r="H101" s="8">
        <v>27.11</v>
      </c>
      <c r="I101" s="8">
        <f t="shared" si="4"/>
        <v>15.587639999999999</v>
      </c>
      <c r="J101" s="8">
        <f t="shared" si="5"/>
        <v>7.7907600000000006</v>
      </c>
      <c r="K101" s="8">
        <f t="shared" si="6"/>
        <v>6.9560357142857141</v>
      </c>
      <c r="L101" s="10">
        <f t="shared" si="7"/>
        <v>13.912071428571428</v>
      </c>
    </row>
    <row r="102" spans="1:12" x14ac:dyDescent="0.25">
      <c r="A102" t="s">
        <v>209</v>
      </c>
      <c r="B102" t="s">
        <v>210</v>
      </c>
      <c r="C102" s="11">
        <v>6</v>
      </c>
      <c r="D102" s="9">
        <v>13.26</v>
      </c>
      <c r="E102" s="9">
        <v>79.569999999999993</v>
      </c>
      <c r="F102" s="9">
        <v>48.7</v>
      </c>
      <c r="G102" s="8">
        <v>11.53</v>
      </c>
      <c r="H102" s="8">
        <v>84.69</v>
      </c>
      <c r="I102" s="8">
        <f t="shared" si="4"/>
        <v>48.696840000000002</v>
      </c>
      <c r="J102" s="8">
        <f t="shared" si="5"/>
        <v>8.115120000000001</v>
      </c>
      <c r="K102" s="8">
        <f t="shared" si="6"/>
        <v>7.2456428571428573</v>
      </c>
      <c r="L102" s="10">
        <f t="shared" si="7"/>
        <v>43.473857142857142</v>
      </c>
    </row>
    <row r="103" spans="1:12" x14ac:dyDescent="0.25">
      <c r="A103" t="s">
        <v>211</v>
      </c>
      <c r="B103" t="s">
        <v>212</v>
      </c>
      <c r="C103" s="11">
        <v>1</v>
      </c>
      <c r="D103" s="9">
        <v>65.38</v>
      </c>
      <c r="E103" s="9">
        <v>65.38</v>
      </c>
      <c r="F103" s="9">
        <v>40.01</v>
      </c>
      <c r="G103" s="8">
        <v>56.85</v>
      </c>
      <c r="H103" s="8">
        <v>69.58</v>
      </c>
      <c r="I103" s="8">
        <f t="shared" si="4"/>
        <v>40.012560000000001</v>
      </c>
      <c r="J103" s="8">
        <f t="shared" si="5"/>
        <v>40.012560000000001</v>
      </c>
      <c r="K103" s="8">
        <f t="shared" si="6"/>
        <v>35.725499999999997</v>
      </c>
      <c r="L103" s="10">
        <f t="shared" si="7"/>
        <v>35.725499999999997</v>
      </c>
    </row>
    <row r="104" spans="1:12" x14ac:dyDescent="0.25">
      <c r="A104" t="s">
        <v>213</v>
      </c>
      <c r="B104" t="s">
        <v>214</v>
      </c>
      <c r="C104" s="11">
        <v>2</v>
      </c>
      <c r="D104" s="9">
        <v>19.760000000000002</v>
      </c>
      <c r="E104" s="9">
        <v>39.51</v>
      </c>
      <c r="F104" s="9">
        <v>24.18</v>
      </c>
      <c r="G104" s="8">
        <v>17.18</v>
      </c>
      <c r="H104" s="8">
        <v>42.06</v>
      </c>
      <c r="I104" s="8">
        <f t="shared" si="4"/>
        <v>24.180120000000002</v>
      </c>
      <c r="J104" s="8">
        <f t="shared" si="5"/>
        <v>12.093120000000001</v>
      </c>
      <c r="K104" s="8">
        <f t="shared" si="6"/>
        <v>10.79742857142857</v>
      </c>
      <c r="L104" s="10">
        <f t="shared" si="7"/>
        <v>21.594857142857141</v>
      </c>
    </row>
    <row r="105" spans="1:12" x14ac:dyDescent="0.25">
      <c r="A105" t="s">
        <v>215</v>
      </c>
      <c r="B105" t="s">
        <v>216</v>
      </c>
      <c r="C105" s="11">
        <v>1</v>
      </c>
      <c r="D105" s="9">
        <v>33.26</v>
      </c>
      <c r="E105" s="9">
        <v>33.26</v>
      </c>
      <c r="F105" s="9">
        <v>20.350000000000001</v>
      </c>
      <c r="G105" s="8">
        <v>28.92</v>
      </c>
      <c r="H105" s="8">
        <v>35.4</v>
      </c>
      <c r="I105" s="8">
        <f t="shared" si="4"/>
        <v>20.355119999999999</v>
      </c>
      <c r="J105" s="8">
        <f t="shared" si="5"/>
        <v>20.355119999999999</v>
      </c>
      <c r="K105" s="8">
        <f t="shared" si="6"/>
        <v>18.174214285714285</v>
      </c>
      <c r="L105" s="10">
        <f t="shared" si="7"/>
        <v>18.174214285714285</v>
      </c>
    </row>
    <row r="106" spans="1:12" x14ac:dyDescent="0.25">
      <c r="A106" t="s">
        <v>217</v>
      </c>
      <c r="B106" t="s">
        <v>218</v>
      </c>
      <c r="C106" s="11">
        <v>1</v>
      </c>
      <c r="D106" s="9">
        <v>19.760000000000002</v>
      </c>
      <c r="E106" s="9">
        <v>19.760000000000002</v>
      </c>
      <c r="F106" s="9">
        <v>12.09</v>
      </c>
      <c r="G106" s="8">
        <v>17.18</v>
      </c>
      <c r="H106" s="8">
        <v>21.03</v>
      </c>
      <c r="I106" s="8">
        <f t="shared" si="4"/>
        <v>12.093120000000001</v>
      </c>
      <c r="J106" s="8">
        <f t="shared" si="5"/>
        <v>12.093120000000001</v>
      </c>
      <c r="K106" s="8">
        <f t="shared" si="6"/>
        <v>10.79742857142857</v>
      </c>
      <c r="L106" s="10">
        <f t="shared" si="7"/>
        <v>10.79742857142857</v>
      </c>
    </row>
    <row r="107" spans="1:12" x14ac:dyDescent="0.25">
      <c r="A107" t="s">
        <v>219</v>
      </c>
      <c r="B107" t="s">
        <v>220</v>
      </c>
      <c r="C107" s="11">
        <v>2</v>
      </c>
      <c r="D107" s="9">
        <v>35.049999999999997</v>
      </c>
      <c r="E107" s="9">
        <v>70.099999999999994</v>
      </c>
      <c r="F107" s="9">
        <v>42.9</v>
      </c>
      <c r="G107" s="8">
        <v>30.48</v>
      </c>
      <c r="H107" s="8">
        <v>74.62</v>
      </c>
      <c r="I107" s="8">
        <f t="shared" si="4"/>
        <v>42.901199999999996</v>
      </c>
      <c r="J107" s="8">
        <f t="shared" si="5"/>
        <v>21.450599999999998</v>
      </c>
      <c r="K107" s="8">
        <f t="shared" si="6"/>
        <v>19.152321428571426</v>
      </c>
      <c r="L107" s="10">
        <f t="shared" si="7"/>
        <v>38.304642857142852</v>
      </c>
    </row>
    <row r="108" spans="1:12" x14ac:dyDescent="0.25">
      <c r="A108" t="s">
        <v>221</v>
      </c>
      <c r="B108" t="s">
        <v>222</v>
      </c>
      <c r="C108" s="11">
        <v>6</v>
      </c>
      <c r="D108" s="9">
        <v>35.049999999999997</v>
      </c>
      <c r="E108" s="9">
        <v>210.31</v>
      </c>
      <c r="F108" s="9">
        <v>128.71</v>
      </c>
      <c r="G108" s="8">
        <v>30.48</v>
      </c>
      <c r="H108" s="8">
        <v>223.85</v>
      </c>
      <c r="I108" s="8">
        <f t="shared" si="4"/>
        <v>128.70972</v>
      </c>
      <c r="J108" s="8">
        <f t="shared" si="5"/>
        <v>21.450599999999998</v>
      </c>
      <c r="K108" s="8">
        <f t="shared" si="6"/>
        <v>19.152321428571426</v>
      </c>
      <c r="L108" s="10">
        <f t="shared" si="7"/>
        <v>114.91392857142856</v>
      </c>
    </row>
    <row r="109" spans="1:12" x14ac:dyDescent="0.25">
      <c r="A109" t="s">
        <v>223</v>
      </c>
      <c r="B109" t="s">
        <v>224</v>
      </c>
      <c r="C109" s="11">
        <v>7</v>
      </c>
      <c r="D109" s="9">
        <v>34.9</v>
      </c>
      <c r="E109" s="9">
        <v>244.28</v>
      </c>
      <c r="F109" s="9">
        <v>149.5</v>
      </c>
      <c r="G109" s="8">
        <v>30.35</v>
      </c>
      <c r="H109" s="8">
        <v>260</v>
      </c>
      <c r="I109" s="8">
        <f t="shared" si="4"/>
        <v>149.49936000000002</v>
      </c>
      <c r="J109" s="8">
        <f t="shared" si="5"/>
        <v>21.358800000000002</v>
      </c>
      <c r="K109" s="8">
        <f t="shared" si="6"/>
        <v>19.070357142857144</v>
      </c>
      <c r="L109" s="10">
        <f t="shared" si="7"/>
        <v>133.49250000000001</v>
      </c>
    </row>
    <row r="110" spans="1:12" x14ac:dyDescent="0.25">
      <c r="A110" t="s">
        <v>225</v>
      </c>
      <c r="B110" t="s">
        <v>226</v>
      </c>
      <c r="C110" s="11">
        <v>2</v>
      </c>
      <c r="D110" s="9">
        <v>35.049999999999997</v>
      </c>
      <c r="E110" s="9">
        <v>70.099999999999994</v>
      </c>
      <c r="F110" s="9">
        <v>42.9</v>
      </c>
      <c r="G110" s="8">
        <v>30.48</v>
      </c>
      <c r="H110" s="8">
        <v>74.62</v>
      </c>
      <c r="I110" s="8">
        <f t="shared" si="4"/>
        <v>42.901199999999996</v>
      </c>
      <c r="J110" s="8">
        <f t="shared" si="5"/>
        <v>21.450599999999998</v>
      </c>
      <c r="K110" s="8">
        <f t="shared" si="6"/>
        <v>19.152321428571426</v>
      </c>
      <c r="L110" s="10">
        <f t="shared" si="7"/>
        <v>38.304642857142852</v>
      </c>
    </row>
    <row r="111" spans="1:12" x14ac:dyDescent="0.25">
      <c r="A111" t="s">
        <v>227</v>
      </c>
      <c r="B111" t="s">
        <v>228</v>
      </c>
      <c r="C111" s="11">
        <v>3</v>
      </c>
      <c r="D111" s="9">
        <v>33.299999999999997</v>
      </c>
      <c r="E111" s="9">
        <v>99.89</v>
      </c>
      <c r="F111" s="9">
        <v>61.13</v>
      </c>
      <c r="G111" s="8">
        <v>28.95</v>
      </c>
      <c r="H111" s="8">
        <v>106.32</v>
      </c>
      <c r="I111" s="8">
        <f t="shared" si="4"/>
        <v>61.132680000000001</v>
      </c>
      <c r="J111" s="8">
        <f t="shared" si="5"/>
        <v>20.379599999999996</v>
      </c>
      <c r="K111" s="8">
        <f t="shared" si="6"/>
        <v>18.196071428571425</v>
      </c>
      <c r="L111" s="10">
        <f t="shared" si="7"/>
        <v>54.588214285714272</v>
      </c>
    </row>
    <row r="112" spans="1:12" x14ac:dyDescent="0.25">
      <c r="A112" t="s">
        <v>229</v>
      </c>
      <c r="B112" t="s">
        <v>230</v>
      </c>
      <c r="C112" s="11">
        <v>6</v>
      </c>
      <c r="D112" s="9">
        <v>32.65</v>
      </c>
      <c r="E112" s="9">
        <v>195.91</v>
      </c>
      <c r="F112" s="9">
        <v>119.89</v>
      </c>
      <c r="G112" s="8">
        <v>28.39</v>
      </c>
      <c r="H112" s="8">
        <v>208.51</v>
      </c>
      <c r="I112" s="8">
        <f t="shared" si="4"/>
        <v>119.89692000000001</v>
      </c>
      <c r="J112" s="8">
        <f t="shared" si="5"/>
        <v>19.9818</v>
      </c>
      <c r="K112" s="8">
        <f t="shared" si="6"/>
        <v>17.840892857142855</v>
      </c>
      <c r="L112" s="10">
        <f t="shared" si="7"/>
        <v>107.04535714285713</v>
      </c>
    </row>
    <row r="113" spans="1:12" x14ac:dyDescent="0.25">
      <c r="A113" t="s">
        <v>231</v>
      </c>
      <c r="B113" t="s">
        <v>232</v>
      </c>
      <c r="C113" s="11">
        <v>1</v>
      </c>
      <c r="D113" s="9">
        <v>19.98</v>
      </c>
      <c r="E113" s="9">
        <v>19.98</v>
      </c>
      <c r="F113" s="9">
        <v>12.23</v>
      </c>
      <c r="G113" s="8">
        <v>17.37</v>
      </c>
      <c r="H113" s="8">
        <v>21.26</v>
      </c>
      <c r="I113" s="8">
        <f t="shared" si="4"/>
        <v>12.22776</v>
      </c>
      <c r="J113" s="8">
        <f t="shared" si="5"/>
        <v>12.22776</v>
      </c>
      <c r="K113" s="8">
        <f t="shared" si="6"/>
        <v>10.917642857142855</v>
      </c>
      <c r="L113" s="10">
        <f t="shared" si="7"/>
        <v>10.917642857142855</v>
      </c>
    </row>
    <row r="114" spans="1:12" x14ac:dyDescent="0.25">
      <c r="A114" t="s">
        <v>233</v>
      </c>
      <c r="B114" t="s">
        <v>234</v>
      </c>
      <c r="C114" s="11">
        <v>10</v>
      </c>
      <c r="D114" s="9">
        <v>21.94</v>
      </c>
      <c r="E114" s="9">
        <v>219.39</v>
      </c>
      <c r="F114" s="9">
        <v>134.27000000000001</v>
      </c>
      <c r="G114" s="8">
        <v>19.079999999999998</v>
      </c>
      <c r="H114" s="8">
        <v>233.51</v>
      </c>
      <c r="I114" s="8">
        <f t="shared" si="4"/>
        <v>134.26668000000001</v>
      </c>
      <c r="J114" s="8">
        <f t="shared" si="5"/>
        <v>13.427280000000001</v>
      </c>
      <c r="K114" s="8">
        <f t="shared" si="6"/>
        <v>11.988642857142857</v>
      </c>
      <c r="L114" s="10">
        <f t="shared" si="7"/>
        <v>119.88642857142857</v>
      </c>
    </row>
    <row r="115" spans="1:12" x14ac:dyDescent="0.25">
      <c r="A115" t="s">
        <v>235</v>
      </c>
      <c r="B115" t="s">
        <v>236</v>
      </c>
      <c r="C115" s="11">
        <v>7</v>
      </c>
      <c r="D115" s="9">
        <v>22.8</v>
      </c>
      <c r="E115" s="9">
        <v>159.61000000000001</v>
      </c>
      <c r="F115" s="9">
        <v>97.68</v>
      </c>
      <c r="G115" s="8">
        <v>19.829999999999998</v>
      </c>
      <c r="H115" s="8">
        <v>169.88</v>
      </c>
      <c r="I115" s="8">
        <f t="shared" si="4"/>
        <v>97.681320000000014</v>
      </c>
      <c r="J115" s="8">
        <f t="shared" si="5"/>
        <v>13.953600000000002</v>
      </c>
      <c r="K115" s="8">
        <f t="shared" si="6"/>
        <v>12.458571428571428</v>
      </c>
      <c r="L115" s="10">
        <f t="shared" si="7"/>
        <v>87.21</v>
      </c>
    </row>
    <row r="116" spans="1:12" x14ac:dyDescent="0.25">
      <c r="A116" t="s">
        <v>237</v>
      </c>
      <c r="B116" t="s">
        <v>238</v>
      </c>
      <c r="C116" s="11">
        <v>10</v>
      </c>
      <c r="D116" s="9">
        <v>22.56</v>
      </c>
      <c r="E116" s="9">
        <v>225.63</v>
      </c>
      <c r="F116" s="9">
        <v>138.09</v>
      </c>
      <c r="G116" s="8">
        <v>19.62</v>
      </c>
      <c r="H116" s="8">
        <v>240.15</v>
      </c>
      <c r="I116" s="8">
        <f t="shared" si="4"/>
        <v>138.08556000000002</v>
      </c>
      <c r="J116" s="8">
        <f t="shared" si="5"/>
        <v>13.80672</v>
      </c>
      <c r="K116" s="8">
        <f t="shared" si="6"/>
        <v>12.327428571428571</v>
      </c>
      <c r="L116" s="10">
        <f t="shared" si="7"/>
        <v>123.27428571428571</v>
      </c>
    </row>
    <row r="117" spans="1:12" x14ac:dyDescent="0.25">
      <c r="C117" s="11"/>
      <c r="D117" s="9"/>
      <c r="E117" s="9"/>
      <c r="F117" s="9"/>
      <c r="G117" s="8"/>
      <c r="H117" s="8"/>
      <c r="I117" s="8"/>
      <c r="J117" s="8"/>
      <c r="K117" s="8"/>
      <c r="L117" s="10"/>
    </row>
    <row r="118" spans="1:12" x14ac:dyDescent="0.25">
      <c r="C118" s="8"/>
      <c r="D118" s="9"/>
      <c r="E118" s="9"/>
      <c r="F118" s="9"/>
      <c r="G118" s="8"/>
      <c r="H118" s="8"/>
      <c r="I118" s="8">
        <f t="shared" ref="I118:L118" si="8">SUM(I2:I117)</f>
        <v>4421.9815199999994</v>
      </c>
      <c r="J118" s="8">
        <f t="shared" si="8"/>
        <v>1722.7065600000012</v>
      </c>
      <c r="K118" s="8">
        <f t="shared" si="8"/>
        <v>1538.1308571428578</v>
      </c>
      <c r="L118" s="10">
        <f t="shared" si="8"/>
        <v>3948.2469642857118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85967-6C1B-429C-8841-BAB8C32AA22D}">
  <dimension ref="A1:AT378"/>
  <sheetViews>
    <sheetView workbookViewId="0">
      <selection activeCell="E27" sqref="E27"/>
    </sheetView>
  </sheetViews>
  <sheetFormatPr baseColWidth="10" defaultRowHeight="15" x14ac:dyDescent="0.25"/>
  <sheetData>
    <row r="1" spans="1:46" ht="15.75" x14ac:dyDescent="0.25">
      <c r="A1" s="14"/>
      <c r="B1" s="14"/>
      <c r="C1" s="29" t="s">
        <v>239</v>
      </c>
      <c r="D1" s="30"/>
      <c r="E1" s="30"/>
      <c r="F1" s="31"/>
      <c r="G1" s="32" t="s">
        <v>240</v>
      </c>
      <c r="H1" s="33"/>
      <c r="I1" s="33"/>
      <c r="J1" s="34"/>
      <c r="K1" s="29" t="s">
        <v>241</v>
      </c>
      <c r="L1" s="30"/>
      <c r="M1" s="30"/>
      <c r="N1" s="31"/>
      <c r="O1" s="32" t="s">
        <v>242</v>
      </c>
      <c r="P1" s="33"/>
      <c r="Q1" s="33"/>
      <c r="R1" s="34"/>
      <c r="S1" s="29" t="s">
        <v>243</v>
      </c>
      <c r="T1" s="30"/>
      <c r="U1" s="30"/>
      <c r="V1" s="31"/>
      <c r="W1" s="32" t="s">
        <v>244</v>
      </c>
      <c r="X1" s="33"/>
      <c r="Y1" s="33"/>
      <c r="Z1" s="34"/>
      <c r="AA1" s="29" t="s">
        <v>245</v>
      </c>
      <c r="AB1" s="30"/>
      <c r="AC1" s="30"/>
      <c r="AD1" s="31"/>
      <c r="AE1" s="32" t="s">
        <v>246</v>
      </c>
      <c r="AF1" s="33"/>
      <c r="AG1" s="33"/>
      <c r="AH1" s="34"/>
      <c r="AI1" s="29" t="s">
        <v>247</v>
      </c>
      <c r="AJ1" s="30"/>
      <c r="AK1" s="30"/>
      <c r="AL1" s="31"/>
      <c r="AM1" s="32" t="s">
        <v>248</v>
      </c>
      <c r="AN1" s="33"/>
      <c r="AO1" s="33"/>
      <c r="AP1" s="34"/>
      <c r="AQ1" s="29" t="s">
        <v>249</v>
      </c>
      <c r="AR1" s="30"/>
      <c r="AS1" s="30"/>
      <c r="AT1" s="31"/>
    </row>
    <row r="2" spans="1:46" ht="15.75" x14ac:dyDescent="0.25">
      <c r="A2" s="15" t="s">
        <v>0</v>
      </c>
      <c r="B2" s="16" t="s">
        <v>1</v>
      </c>
      <c r="C2" s="17" t="s">
        <v>250</v>
      </c>
      <c r="D2" s="18" t="s">
        <v>251</v>
      </c>
      <c r="E2" s="19" t="s">
        <v>252</v>
      </c>
      <c r="F2" s="19" t="s">
        <v>253</v>
      </c>
      <c r="G2" s="20" t="s">
        <v>250</v>
      </c>
      <c r="H2" s="21" t="s">
        <v>251</v>
      </c>
      <c r="I2" s="22" t="s">
        <v>252</v>
      </c>
      <c r="J2" s="22" t="s">
        <v>253</v>
      </c>
      <c r="K2" s="23" t="s">
        <v>250</v>
      </c>
      <c r="L2" s="24" t="s">
        <v>251</v>
      </c>
      <c r="M2" s="25" t="s">
        <v>252</v>
      </c>
      <c r="N2" s="25" t="s">
        <v>253</v>
      </c>
      <c r="O2" s="20" t="s">
        <v>250</v>
      </c>
      <c r="P2" s="21" t="s">
        <v>251</v>
      </c>
      <c r="Q2" s="22" t="s">
        <v>252</v>
      </c>
      <c r="R2" s="22" t="s">
        <v>253</v>
      </c>
      <c r="S2" s="23" t="s">
        <v>250</v>
      </c>
      <c r="T2" s="24" t="s">
        <v>251</v>
      </c>
      <c r="U2" s="25" t="s">
        <v>252</v>
      </c>
      <c r="V2" s="25" t="s">
        <v>253</v>
      </c>
      <c r="W2" s="20" t="s">
        <v>250</v>
      </c>
      <c r="X2" s="21" t="s">
        <v>251</v>
      </c>
      <c r="Y2" s="22" t="s">
        <v>252</v>
      </c>
      <c r="Z2" s="22" t="s">
        <v>253</v>
      </c>
      <c r="AA2" s="23" t="s">
        <v>250</v>
      </c>
      <c r="AB2" s="24" t="s">
        <v>251</v>
      </c>
      <c r="AC2" s="25" t="s">
        <v>252</v>
      </c>
      <c r="AD2" s="25" t="s">
        <v>253</v>
      </c>
      <c r="AE2" s="26" t="s">
        <v>250</v>
      </c>
      <c r="AF2" s="26" t="s">
        <v>251</v>
      </c>
      <c r="AG2" s="27" t="s">
        <v>252</v>
      </c>
      <c r="AH2" s="27" t="s">
        <v>253</v>
      </c>
      <c r="AI2" s="23" t="s">
        <v>250</v>
      </c>
      <c r="AJ2" s="24" t="s">
        <v>251</v>
      </c>
      <c r="AK2" s="25" t="s">
        <v>252</v>
      </c>
      <c r="AL2" s="25" t="s">
        <v>253</v>
      </c>
      <c r="AM2" s="26" t="s">
        <v>250</v>
      </c>
      <c r="AN2" s="26" t="s">
        <v>251</v>
      </c>
      <c r="AO2" s="27" t="s">
        <v>252</v>
      </c>
      <c r="AP2" s="27" t="s">
        <v>253</v>
      </c>
      <c r="AQ2" s="23" t="s">
        <v>250</v>
      </c>
      <c r="AR2" s="24" t="s">
        <v>251</v>
      </c>
      <c r="AS2" s="25" t="s">
        <v>252</v>
      </c>
      <c r="AT2" s="25" t="s">
        <v>253</v>
      </c>
    </row>
    <row r="3" spans="1:46" ht="15.75" x14ac:dyDescent="0.25">
      <c r="A3" t="s">
        <v>254</v>
      </c>
      <c r="B3" t="s">
        <v>255</v>
      </c>
      <c r="C3">
        <v>7</v>
      </c>
      <c r="D3">
        <v>0</v>
      </c>
      <c r="E3">
        <v>0</v>
      </c>
      <c r="F3">
        <v>14</v>
      </c>
      <c r="G3">
        <v>0</v>
      </c>
      <c r="H3">
        <v>0</v>
      </c>
      <c r="I3">
        <v>0</v>
      </c>
      <c r="J3">
        <v>13</v>
      </c>
      <c r="K3">
        <v>0</v>
      </c>
      <c r="L3">
        <v>0</v>
      </c>
      <c r="M3">
        <v>0</v>
      </c>
      <c r="N3">
        <v>15</v>
      </c>
      <c r="O3">
        <v>0</v>
      </c>
      <c r="P3">
        <v>-1</v>
      </c>
      <c r="Q3">
        <v>0</v>
      </c>
      <c r="R3">
        <v>9</v>
      </c>
      <c r="S3">
        <v>3</v>
      </c>
      <c r="T3">
        <v>0</v>
      </c>
      <c r="U3">
        <v>0</v>
      </c>
      <c r="V3">
        <v>8</v>
      </c>
      <c r="W3">
        <v>0</v>
      </c>
      <c r="X3">
        <v>-2</v>
      </c>
      <c r="Y3">
        <v>0</v>
      </c>
      <c r="Z3">
        <v>7</v>
      </c>
      <c r="AA3">
        <v>0</v>
      </c>
      <c r="AB3">
        <v>0</v>
      </c>
      <c r="AC3">
        <v>0</v>
      </c>
      <c r="AD3">
        <v>11</v>
      </c>
      <c r="AE3">
        <v>0</v>
      </c>
      <c r="AF3">
        <v>0</v>
      </c>
      <c r="AG3">
        <v>0</v>
      </c>
      <c r="AH3">
        <v>0</v>
      </c>
      <c r="AI3" s="28">
        <v>0</v>
      </c>
      <c r="AJ3" s="28">
        <v>0</v>
      </c>
      <c r="AK3" s="28">
        <v>0</v>
      </c>
      <c r="AL3" s="28">
        <v>0</v>
      </c>
      <c r="AM3" s="28">
        <v>3</v>
      </c>
      <c r="AN3" s="28">
        <v>-1</v>
      </c>
      <c r="AO3" s="28">
        <v>0</v>
      </c>
      <c r="AP3" s="28">
        <v>14</v>
      </c>
      <c r="AQ3">
        <v>7</v>
      </c>
      <c r="AR3">
        <v>-2</v>
      </c>
      <c r="AS3">
        <v>0</v>
      </c>
      <c r="AT3">
        <v>11</v>
      </c>
    </row>
    <row r="4" spans="1:46" ht="15.75" x14ac:dyDescent="0.25">
      <c r="A4" t="s">
        <v>256</v>
      </c>
      <c r="B4" t="s">
        <v>257</v>
      </c>
      <c r="C4">
        <v>6</v>
      </c>
      <c r="D4">
        <v>-1</v>
      </c>
      <c r="E4">
        <v>0</v>
      </c>
      <c r="F4">
        <v>9</v>
      </c>
      <c r="G4">
        <v>5</v>
      </c>
      <c r="H4">
        <v>-3</v>
      </c>
      <c r="I4">
        <v>0</v>
      </c>
      <c r="J4">
        <v>7</v>
      </c>
      <c r="K4">
        <v>0</v>
      </c>
      <c r="L4">
        <v>0</v>
      </c>
      <c r="M4">
        <v>0</v>
      </c>
      <c r="N4">
        <v>8</v>
      </c>
      <c r="O4">
        <v>0</v>
      </c>
      <c r="P4">
        <v>-1</v>
      </c>
      <c r="Q4">
        <v>0</v>
      </c>
      <c r="R4">
        <v>6</v>
      </c>
      <c r="S4">
        <v>6</v>
      </c>
      <c r="T4">
        <v>-3</v>
      </c>
      <c r="U4">
        <v>0</v>
      </c>
      <c r="V4">
        <v>7</v>
      </c>
      <c r="W4">
        <v>0</v>
      </c>
      <c r="X4">
        <v>0</v>
      </c>
      <c r="Y4">
        <v>0</v>
      </c>
      <c r="Z4">
        <v>6</v>
      </c>
      <c r="AA4">
        <v>0</v>
      </c>
      <c r="AB4">
        <v>0</v>
      </c>
      <c r="AC4">
        <v>0</v>
      </c>
      <c r="AD4">
        <v>4</v>
      </c>
      <c r="AE4">
        <v>0</v>
      </c>
      <c r="AF4">
        <v>0</v>
      </c>
      <c r="AG4">
        <v>0</v>
      </c>
      <c r="AH4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11</v>
      </c>
      <c r="AQ4">
        <v>8</v>
      </c>
      <c r="AR4">
        <v>-1</v>
      </c>
      <c r="AS4">
        <v>0</v>
      </c>
      <c r="AT4">
        <v>9</v>
      </c>
    </row>
    <row r="5" spans="1:46" ht="15.75" x14ac:dyDescent="0.25">
      <c r="A5" t="s">
        <v>258</v>
      </c>
      <c r="B5" t="s">
        <v>259</v>
      </c>
      <c r="C5">
        <v>11</v>
      </c>
      <c r="D5">
        <v>0</v>
      </c>
      <c r="E5">
        <v>0</v>
      </c>
      <c r="F5">
        <v>14</v>
      </c>
      <c r="G5">
        <v>0</v>
      </c>
      <c r="H5">
        <v>-3</v>
      </c>
      <c r="I5">
        <v>0</v>
      </c>
      <c r="J5">
        <v>10</v>
      </c>
      <c r="K5">
        <v>0</v>
      </c>
      <c r="L5">
        <v>0</v>
      </c>
      <c r="M5">
        <v>0</v>
      </c>
      <c r="N5">
        <v>11</v>
      </c>
      <c r="O5">
        <v>4</v>
      </c>
      <c r="P5">
        <v>-2</v>
      </c>
      <c r="Q5">
        <v>0</v>
      </c>
      <c r="R5">
        <v>10</v>
      </c>
      <c r="S5">
        <v>0</v>
      </c>
      <c r="T5">
        <v>0</v>
      </c>
      <c r="U5">
        <v>0</v>
      </c>
      <c r="V5">
        <v>5</v>
      </c>
      <c r="W5">
        <v>4</v>
      </c>
      <c r="X5">
        <v>0</v>
      </c>
      <c r="Y5">
        <v>0</v>
      </c>
      <c r="Z5">
        <v>9</v>
      </c>
      <c r="AA5">
        <v>8</v>
      </c>
      <c r="AB5">
        <v>0</v>
      </c>
      <c r="AC5">
        <v>0</v>
      </c>
      <c r="AD5">
        <v>12</v>
      </c>
      <c r="AE5">
        <v>0</v>
      </c>
      <c r="AF5">
        <v>0</v>
      </c>
      <c r="AG5">
        <v>0</v>
      </c>
      <c r="AH5">
        <v>0</v>
      </c>
      <c r="AI5" s="28">
        <v>0</v>
      </c>
      <c r="AJ5" s="28">
        <v>0</v>
      </c>
      <c r="AK5" s="28">
        <v>0</v>
      </c>
      <c r="AL5" s="28">
        <v>0</v>
      </c>
      <c r="AM5" s="28">
        <v>3</v>
      </c>
      <c r="AN5" s="28">
        <v>-1</v>
      </c>
      <c r="AO5" s="28">
        <v>0</v>
      </c>
      <c r="AP5" s="28">
        <v>7</v>
      </c>
      <c r="AQ5">
        <v>8</v>
      </c>
      <c r="AR5">
        <v>-1</v>
      </c>
      <c r="AS5">
        <v>0</v>
      </c>
      <c r="AT5">
        <v>9</v>
      </c>
    </row>
    <row r="6" spans="1:46" ht="15.75" x14ac:dyDescent="0.25">
      <c r="A6" t="s">
        <v>260</v>
      </c>
      <c r="B6" t="s">
        <v>261</v>
      </c>
      <c r="C6">
        <v>8</v>
      </c>
      <c r="D6">
        <v>-1</v>
      </c>
      <c r="E6">
        <v>0</v>
      </c>
      <c r="F6">
        <v>8</v>
      </c>
      <c r="G6">
        <v>0</v>
      </c>
      <c r="H6">
        <v>-1</v>
      </c>
      <c r="I6">
        <v>0</v>
      </c>
      <c r="J6">
        <v>5</v>
      </c>
      <c r="K6">
        <v>0</v>
      </c>
      <c r="L6">
        <v>0</v>
      </c>
      <c r="M6">
        <v>0</v>
      </c>
      <c r="N6">
        <v>6</v>
      </c>
      <c r="O6">
        <v>4</v>
      </c>
      <c r="P6">
        <v>0</v>
      </c>
      <c r="Q6">
        <v>0</v>
      </c>
      <c r="R6">
        <v>8</v>
      </c>
      <c r="S6">
        <v>0</v>
      </c>
      <c r="T6">
        <v>-1</v>
      </c>
      <c r="U6">
        <v>0</v>
      </c>
      <c r="V6">
        <v>6</v>
      </c>
      <c r="W6">
        <v>0</v>
      </c>
      <c r="X6">
        <v>-1</v>
      </c>
      <c r="Y6">
        <v>0</v>
      </c>
      <c r="Z6">
        <v>5</v>
      </c>
      <c r="AA6">
        <v>5</v>
      </c>
      <c r="AB6">
        <v>0</v>
      </c>
      <c r="AC6">
        <v>0</v>
      </c>
      <c r="AD6">
        <v>5</v>
      </c>
      <c r="AE6">
        <v>0</v>
      </c>
      <c r="AF6">
        <v>0</v>
      </c>
      <c r="AG6">
        <v>0</v>
      </c>
      <c r="AH6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-1</v>
      </c>
      <c r="AO6" s="28">
        <v>0</v>
      </c>
      <c r="AP6" s="28">
        <v>2</v>
      </c>
      <c r="AQ6">
        <v>6</v>
      </c>
      <c r="AR6">
        <v>0</v>
      </c>
      <c r="AS6">
        <v>0</v>
      </c>
      <c r="AT6">
        <v>9</v>
      </c>
    </row>
    <row r="7" spans="1:46" ht="15.75" x14ac:dyDescent="0.25">
      <c r="A7" t="s">
        <v>262</v>
      </c>
      <c r="B7" t="s">
        <v>263</v>
      </c>
      <c r="C7">
        <v>3</v>
      </c>
      <c r="D7">
        <v>0</v>
      </c>
      <c r="E7">
        <v>0</v>
      </c>
      <c r="F7">
        <v>7</v>
      </c>
      <c r="G7">
        <v>6</v>
      </c>
      <c r="H7">
        <v>-1</v>
      </c>
      <c r="I7">
        <v>2</v>
      </c>
      <c r="J7">
        <v>9</v>
      </c>
      <c r="K7">
        <v>4</v>
      </c>
      <c r="L7">
        <v>0</v>
      </c>
      <c r="M7">
        <v>0</v>
      </c>
      <c r="N7">
        <v>5</v>
      </c>
      <c r="O7">
        <v>0</v>
      </c>
      <c r="P7">
        <v>0</v>
      </c>
      <c r="Q7">
        <v>0</v>
      </c>
      <c r="R7">
        <v>3</v>
      </c>
      <c r="S7">
        <v>4</v>
      </c>
      <c r="T7">
        <v>-1</v>
      </c>
      <c r="U7">
        <v>0</v>
      </c>
      <c r="V7">
        <v>3</v>
      </c>
      <c r="W7">
        <v>0</v>
      </c>
      <c r="X7">
        <v>0</v>
      </c>
      <c r="Y7">
        <v>0</v>
      </c>
      <c r="Z7">
        <v>0</v>
      </c>
      <c r="AA7">
        <v>4</v>
      </c>
      <c r="AB7">
        <v>0</v>
      </c>
      <c r="AC7">
        <v>-2</v>
      </c>
      <c r="AD7">
        <v>5</v>
      </c>
      <c r="AE7">
        <v>0</v>
      </c>
      <c r="AF7">
        <v>0</v>
      </c>
      <c r="AG7">
        <v>0</v>
      </c>
      <c r="AH7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>
        <v>6</v>
      </c>
      <c r="AR7">
        <v>0</v>
      </c>
      <c r="AS7">
        <v>0</v>
      </c>
      <c r="AT7">
        <v>7</v>
      </c>
    </row>
    <row r="8" spans="1:46" ht="15.75" x14ac:dyDescent="0.25">
      <c r="A8" t="s">
        <v>264</v>
      </c>
      <c r="B8" t="s">
        <v>265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>
        <v>0</v>
      </c>
      <c r="AR8">
        <v>0</v>
      </c>
      <c r="AS8">
        <v>0</v>
      </c>
      <c r="AT8">
        <v>7</v>
      </c>
    </row>
    <row r="9" spans="1:46" ht="15.75" x14ac:dyDescent="0.25">
      <c r="A9" t="s">
        <v>266</v>
      </c>
      <c r="B9" t="s">
        <v>267</v>
      </c>
      <c r="C9">
        <v>4</v>
      </c>
      <c r="D9">
        <v>0</v>
      </c>
      <c r="E9">
        <v>0</v>
      </c>
      <c r="F9">
        <v>9</v>
      </c>
      <c r="G9">
        <v>0</v>
      </c>
      <c r="H9">
        <v>-1</v>
      </c>
      <c r="I9">
        <v>0</v>
      </c>
      <c r="J9">
        <v>5</v>
      </c>
      <c r="K9">
        <v>0</v>
      </c>
      <c r="L9">
        <v>0</v>
      </c>
      <c r="M9">
        <v>0</v>
      </c>
      <c r="N9">
        <v>4</v>
      </c>
      <c r="O9">
        <v>0</v>
      </c>
      <c r="P9">
        <v>0</v>
      </c>
      <c r="Q9">
        <v>0</v>
      </c>
      <c r="R9">
        <v>5</v>
      </c>
      <c r="S9">
        <v>0</v>
      </c>
      <c r="T9">
        <v>0</v>
      </c>
      <c r="U9">
        <v>0</v>
      </c>
      <c r="V9">
        <v>2</v>
      </c>
      <c r="W9">
        <v>4</v>
      </c>
      <c r="X9">
        <v>0</v>
      </c>
      <c r="Y9">
        <v>0</v>
      </c>
      <c r="Z9">
        <v>5</v>
      </c>
      <c r="AA9">
        <v>4</v>
      </c>
      <c r="AB9">
        <v>0</v>
      </c>
      <c r="AC9">
        <v>0</v>
      </c>
      <c r="AD9">
        <v>7</v>
      </c>
      <c r="AE9">
        <v>0</v>
      </c>
      <c r="AF9">
        <v>0</v>
      </c>
      <c r="AG9">
        <v>0</v>
      </c>
      <c r="AH9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4</v>
      </c>
      <c r="AQ9">
        <v>3</v>
      </c>
      <c r="AR9">
        <v>0</v>
      </c>
      <c r="AS9">
        <v>0</v>
      </c>
      <c r="AT9">
        <v>6</v>
      </c>
    </row>
    <row r="10" spans="1:46" ht="15.75" x14ac:dyDescent="0.25">
      <c r="A10" t="s">
        <v>268</v>
      </c>
      <c r="B10" t="s">
        <v>269</v>
      </c>
      <c r="C10">
        <v>5</v>
      </c>
      <c r="D10">
        <v>0</v>
      </c>
      <c r="E10">
        <v>0</v>
      </c>
      <c r="F10">
        <v>5</v>
      </c>
      <c r="G10">
        <v>6</v>
      </c>
      <c r="H10">
        <v>-1</v>
      </c>
      <c r="I10">
        <v>0</v>
      </c>
      <c r="J10">
        <v>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>
        <v>6</v>
      </c>
      <c r="AR10">
        <v>0</v>
      </c>
      <c r="AS10">
        <v>0</v>
      </c>
      <c r="AT10">
        <v>6</v>
      </c>
    </row>
    <row r="11" spans="1:46" ht="15.75" x14ac:dyDescent="0.25">
      <c r="A11" t="s">
        <v>270</v>
      </c>
      <c r="B11" t="s">
        <v>271</v>
      </c>
      <c r="C11">
        <v>7</v>
      </c>
      <c r="D11">
        <v>-1</v>
      </c>
      <c r="E11">
        <v>0</v>
      </c>
      <c r="F11">
        <v>6</v>
      </c>
      <c r="G11">
        <v>6</v>
      </c>
      <c r="H11">
        <v>0</v>
      </c>
      <c r="I11">
        <v>0</v>
      </c>
      <c r="J11">
        <v>6</v>
      </c>
      <c r="K11">
        <v>6</v>
      </c>
      <c r="L11">
        <v>0</v>
      </c>
      <c r="M11">
        <v>0</v>
      </c>
      <c r="N11">
        <v>6</v>
      </c>
      <c r="O11">
        <v>5</v>
      </c>
      <c r="P11">
        <v>0</v>
      </c>
      <c r="Q11">
        <v>0</v>
      </c>
      <c r="R11">
        <v>5</v>
      </c>
      <c r="S11">
        <v>5</v>
      </c>
      <c r="T11">
        <v>-1</v>
      </c>
      <c r="U11">
        <v>0</v>
      </c>
      <c r="V11">
        <v>4</v>
      </c>
      <c r="W11">
        <v>5</v>
      </c>
      <c r="X11">
        <v>-3</v>
      </c>
      <c r="Y11">
        <v>0</v>
      </c>
      <c r="Z11">
        <v>2</v>
      </c>
      <c r="AA11">
        <v>6</v>
      </c>
      <c r="AB11">
        <v>0</v>
      </c>
      <c r="AC11">
        <v>0</v>
      </c>
      <c r="AD11">
        <v>6</v>
      </c>
      <c r="AE11">
        <v>0</v>
      </c>
      <c r="AF11">
        <v>0</v>
      </c>
      <c r="AG11">
        <v>0</v>
      </c>
      <c r="AH11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5</v>
      </c>
      <c r="AN11" s="28">
        <v>-1</v>
      </c>
      <c r="AO11" s="28">
        <v>0</v>
      </c>
      <c r="AP11" s="28">
        <v>4</v>
      </c>
      <c r="AQ11">
        <v>6</v>
      </c>
      <c r="AR11">
        <v>-1</v>
      </c>
      <c r="AS11">
        <v>0</v>
      </c>
      <c r="AT11">
        <v>5</v>
      </c>
    </row>
    <row r="12" spans="1:46" ht="15.75" x14ac:dyDescent="0.25">
      <c r="A12" t="s">
        <v>272</v>
      </c>
      <c r="B12" t="s">
        <v>273</v>
      </c>
      <c r="C12">
        <v>0</v>
      </c>
      <c r="D12">
        <v>0</v>
      </c>
      <c r="E12">
        <v>0</v>
      </c>
      <c r="F12">
        <v>7</v>
      </c>
      <c r="G12">
        <v>6</v>
      </c>
      <c r="H12">
        <v>-1</v>
      </c>
      <c r="I12">
        <v>4</v>
      </c>
      <c r="J12">
        <v>9</v>
      </c>
      <c r="K12">
        <v>5</v>
      </c>
      <c r="L12">
        <v>0</v>
      </c>
      <c r="M12">
        <v>0</v>
      </c>
      <c r="N12">
        <v>5</v>
      </c>
      <c r="O12">
        <v>0</v>
      </c>
      <c r="P12">
        <v>0</v>
      </c>
      <c r="Q12">
        <v>0</v>
      </c>
      <c r="R12">
        <v>0</v>
      </c>
      <c r="S12">
        <v>5</v>
      </c>
      <c r="T12">
        <v>-1</v>
      </c>
      <c r="U12">
        <v>0</v>
      </c>
      <c r="V12">
        <v>4</v>
      </c>
      <c r="W12">
        <v>0</v>
      </c>
      <c r="X12">
        <v>0</v>
      </c>
      <c r="Y12">
        <v>0</v>
      </c>
      <c r="Z12">
        <v>0</v>
      </c>
      <c r="AA12">
        <v>5</v>
      </c>
      <c r="AB12">
        <v>0</v>
      </c>
      <c r="AC12">
        <v>-4</v>
      </c>
      <c r="AD12">
        <v>5</v>
      </c>
      <c r="AE12">
        <v>0</v>
      </c>
      <c r="AF12">
        <v>-1</v>
      </c>
      <c r="AG12">
        <v>0</v>
      </c>
      <c r="AH12">
        <v>-2</v>
      </c>
      <c r="AI12" s="28">
        <v>0</v>
      </c>
      <c r="AJ12" s="28">
        <v>0</v>
      </c>
      <c r="AK12" s="28">
        <v>0</v>
      </c>
      <c r="AL12" s="28">
        <v>0</v>
      </c>
      <c r="AM12" s="28">
        <v>4</v>
      </c>
      <c r="AN12" s="28">
        <v>0</v>
      </c>
      <c r="AO12" s="28">
        <v>0</v>
      </c>
      <c r="AP12" s="28">
        <v>4</v>
      </c>
      <c r="AQ12">
        <v>5</v>
      </c>
      <c r="AR12">
        <v>0</v>
      </c>
      <c r="AS12">
        <v>0</v>
      </c>
      <c r="AT12">
        <v>5</v>
      </c>
    </row>
    <row r="13" spans="1:46" ht="15.75" x14ac:dyDescent="0.25">
      <c r="A13" t="s">
        <v>274</v>
      </c>
      <c r="B13" t="s">
        <v>275</v>
      </c>
      <c r="C13">
        <v>6</v>
      </c>
      <c r="D13">
        <v>-1</v>
      </c>
      <c r="E13">
        <v>0</v>
      </c>
      <c r="F13">
        <v>5</v>
      </c>
      <c r="G13">
        <v>6</v>
      </c>
      <c r="H13">
        <v>-4</v>
      </c>
      <c r="I13">
        <v>0</v>
      </c>
      <c r="J13">
        <v>2</v>
      </c>
      <c r="K13">
        <v>6</v>
      </c>
      <c r="L13">
        <v>-1</v>
      </c>
      <c r="M13">
        <v>0</v>
      </c>
      <c r="N13">
        <v>5</v>
      </c>
      <c r="O13">
        <v>4</v>
      </c>
      <c r="P13">
        <v>0</v>
      </c>
      <c r="Q13">
        <v>0</v>
      </c>
      <c r="R13">
        <v>4</v>
      </c>
      <c r="S13">
        <v>5</v>
      </c>
      <c r="T13">
        <v>-1</v>
      </c>
      <c r="U13">
        <v>0</v>
      </c>
      <c r="V13">
        <v>4</v>
      </c>
      <c r="W13">
        <v>4</v>
      </c>
      <c r="X13">
        <v>-1</v>
      </c>
      <c r="Y13">
        <v>0</v>
      </c>
      <c r="Z13">
        <v>3</v>
      </c>
      <c r="AA13">
        <v>6</v>
      </c>
      <c r="AB13">
        <v>-1</v>
      </c>
      <c r="AC13">
        <v>0</v>
      </c>
      <c r="AD13">
        <v>5</v>
      </c>
      <c r="AE13">
        <v>0</v>
      </c>
      <c r="AF13">
        <v>0</v>
      </c>
      <c r="AG13">
        <v>0</v>
      </c>
      <c r="AH13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>
        <v>6</v>
      </c>
      <c r="AR13">
        <v>-1</v>
      </c>
      <c r="AS13">
        <v>0</v>
      </c>
      <c r="AT13">
        <v>5</v>
      </c>
    </row>
    <row r="14" spans="1:46" ht="15.75" x14ac:dyDescent="0.25">
      <c r="A14" t="s">
        <v>276</v>
      </c>
      <c r="B14" t="s">
        <v>277</v>
      </c>
      <c r="C14">
        <v>8</v>
      </c>
      <c r="D14">
        <v>-1</v>
      </c>
      <c r="E14">
        <v>0</v>
      </c>
      <c r="F14">
        <v>10</v>
      </c>
      <c r="G14">
        <v>8</v>
      </c>
      <c r="H14">
        <v>-1</v>
      </c>
      <c r="I14">
        <v>1</v>
      </c>
      <c r="J14">
        <v>8</v>
      </c>
      <c r="K14">
        <v>5</v>
      </c>
      <c r="L14">
        <v>-2</v>
      </c>
      <c r="M14">
        <v>0</v>
      </c>
      <c r="N14">
        <v>6</v>
      </c>
      <c r="O14">
        <v>0</v>
      </c>
      <c r="P14">
        <v>0</v>
      </c>
      <c r="Q14">
        <v>0</v>
      </c>
      <c r="R14">
        <v>0</v>
      </c>
      <c r="S14">
        <v>4</v>
      </c>
      <c r="T14">
        <v>-2</v>
      </c>
      <c r="U14">
        <v>0</v>
      </c>
      <c r="V14">
        <v>2</v>
      </c>
      <c r="W14">
        <v>0</v>
      </c>
      <c r="X14">
        <v>0</v>
      </c>
      <c r="Y14">
        <v>0</v>
      </c>
      <c r="Z14">
        <v>0</v>
      </c>
      <c r="AA14">
        <v>7</v>
      </c>
      <c r="AB14">
        <v>0</v>
      </c>
      <c r="AC14">
        <v>-1</v>
      </c>
      <c r="AD14">
        <v>8</v>
      </c>
      <c r="AE14">
        <v>0</v>
      </c>
      <c r="AF14">
        <v>0</v>
      </c>
      <c r="AG14">
        <v>0</v>
      </c>
      <c r="AH14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>
        <v>7</v>
      </c>
      <c r="AR14">
        <v>-2</v>
      </c>
      <c r="AS14">
        <v>0</v>
      </c>
      <c r="AT14">
        <v>5</v>
      </c>
    </row>
    <row r="15" spans="1:46" ht="15.75" x14ac:dyDescent="0.25">
      <c r="A15" t="s">
        <v>278</v>
      </c>
      <c r="B15" t="s">
        <v>279</v>
      </c>
      <c r="C15">
        <v>0</v>
      </c>
      <c r="D15">
        <v>0</v>
      </c>
      <c r="E15">
        <v>0</v>
      </c>
      <c r="F15">
        <v>5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-1</v>
      </c>
      <c r="AE15">
        <v>0</v>
      </c>
      <c r="AF15">
        <v>0</v>
      </c>
      <c r="AG15">
        <v>0</v>
      </c>
      <c r="AH15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>
        <v>0</v>
      </c>
      <c r="AR15">
        <v>0</v>
      </c>
      <c r="AS15">
        <v>0</v>
      </c>
      <c r="AT15">
        <v>5</v>
      </c>
    </row>
    <row r="16" spans="1:46" ht="15.75" x14ac:dyDescent="0.25">
      <c r="A16" t="s">
        <v>280</v>
      </c>
      <c r="B16" t="s">
        <v>281</v>
      </c>
      <c r="C16">
        <v>7</v>
      </c>
      <c r="D16">
        <v>-2</v>
      </c>
      <c r="E16">
        <v>0</v>
      </c>
      <c r="F16">
        <v>5</v>
      </c>
      <c r="G16">
        <v>6</v>
      </c>
      <c r="H16">
        <v>-3</v>
      </c>
      <c r="I16">
        <v>0</v>
      </c>
      <c r="J16">
        <v>3</v>
      </c>
      <c r="K16">
        <v>6</v>
      </c>
      <c r="L16">
        <v>-1</v>
      </c>
      <c r="M16">
        <v>0</v>
      </c>
      <c r="N16">
        <v>5</v>
      </c>
      <c r="O16">
        <v>5</v>
      </c>
      <c r="P16">
        <v>0</v>
      </c>
      <c r="Q16">
        <v>0</v>
      </c>
      <c r="R16">
        <v>5</v>
      </c>
      <c r="S16">
        <v>5</v>
      </c>
      <c r="T16">
        <v>0</v>
      </c>
      <c r="U16">
        <v>0</v>
      </c>
      <c r="V16">
        <v>5</v>
      </c>
      <c r="W16">
        <v>5</v>
      </c>
      <c r="X16">
        <v>-2</v>
      </c>
      <c r="Y16">
        <v>0</v>
      </c>
      <c r="Z16">
        <v>3</v>
      </c>
      <c r="AA16">
        <v>7</v>
      </c>
      <c r="AB16">
        <v>0</v>
      </c>
      <c r="AC16">
        <v>0</v>
      </c>
      <c r="AD16">
        <v>7</v>
      </c>
      <c r="AE16">
        <v>0</v>
      </c>
      <c r="AF16">
        <v>0</v>
      </c>
      <c r="AG16">
        <v>0</v>
      </c>
      <c r="AH16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5</v>
      </c>
      <c r="AN16" s="28">
        <v>0</v>
      </c>
      <c r="AO16" s="28">
        <v>0</v>
      </c>
      <c r="AP16" s="28">
        <v>5</v>
      </c>
      <c r="AQ16">
        <v>6</v>
      </c>
      <c r="AR16">
        <v>-2</v>
      </c>
      <c r="AS16">
        <v>0</v>
      </c>
      <c r="AT16">
        <v>4</v>
      </c>
    </row>
    <row r="17" spans="1:46" ht="15.75" x14ac:dyDescent="0.25">
      <c r="A17" t="s">
        <v>282</v>
      </c>
      <c r="B17" t="s">
        <v>283</v>
      </c>
      <c r="C17">
        <v>0</v>
      </c>
      <c r="D17">
        <v>-1</v>
      </c>
      <c r="E17">
        <v>-1</v>
      </c>
      <c r="F17">
        <v>5</v>
      </c>
      <c r="G17">
        <v>0</v>
      </c>
      <c r="H17">
        <v>-1</v>
      </c>
      <c r="I17">
        <v>0</v>
      </c>
      <c r="J17">
        <v>10</v>
      </c>
      <c r="K17">
        <v>0</v>
      </c>
      <c r="L17">
        <v>-1</v>
      </c>
      <c r="M17">
        <v>0</v>
      </c>
      <c r="N17">
        <v>8</v>
      </c>
      <c r="O17">
        <v>0</v>
      </c>
      <c r="P17">
        <v>-1</v>
      </c>
      <c r="Q17">
        <v>0</v>
      </c>
      <c r="R17">
        <v>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-1</v>
      </c>
      <c r="AC17">
        <v>0</v>
      </c>
      <c r="AD17">
        <v>5</v>
      </c>
      <c r="AE17">
        <v>0</v>
      </c>
      <c r="AF17">
        <v>0</v>
      </c>
      <c r="AG17">
        <v>0</v>
      </c>
      <c r="AH17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4</v>
      </c>
      <c r="AQ17">
        <v>0</v>
      </c>
      <c r="AR17">
        <v>-1</v>
      </c>
      <c r="AS17">
        <v>0</v>
      </c>
      <c r="AT17">
        <v>4</v>
      </c>
    </row>
    <row r="18" spans="1:46" ht="15.75" x14ac:dyDescent="0.25">
      <c r="A18" t="s">
        <v>284</v>
      </c>
      <c r="B18" t="s">
        <v>285</v>
      </c>
      <c r="C18">
        <v>4</v>
      </c>
      <c r="D18">
        <v>0</v>
      </c>
      <c r="E18">
        <v>0</v>
      </c>
      <c r="F18">
        <v>7</v>
      </c>
      <c r="G18">
        <v>0</v>
      </c>
      <c r="H18">
        <v>-1</v>
      </c>
      <c r="I18">
        <v>5</v>
      </c>
      <c r="J18">
        <v>10</v>
      </c>
      <c r="K18">
        <v>0</v>
      </c>
      <c r="L18">
        <v>0</v>
      </c>
      <c r="M18">
        <v>0</v>
      </c>
      <c r="N18">
        <v>5</v>
      </c>
      <c r="O18">
        <v>2</v>
      </c>
      <c r="P18">
        <v>0</v>
      </c>
      <c r="Q18">
        <v>0</v>
      </c>
      <c r="R18">
        <v>5</v>
      </c>
      <c r="S18">
        <v>0</v>
      </c>
      <c r="T18">
        <v>0</v>
      </c>
      <c r="U18">
        <v>0</v>
      </c>
      <c r="V18">
        <v>3</v>
      </c>
      <c r="W18">
        <v>3</v>
      </c>
      <c r="X18">
        <v>0</v>
      </c>
      <c r="Y18">
        <v>0</v>
      </c>
      <c r="Z18">
        <v>3</v>
      </c>
      <c r="AA18">
        <v>10</v>
      </c>
      <c r="AB18">
        <v>0</v>
      </c>
      <c r="AC18">
        <v>-5</v>
      </c>
      <c r="AD18">
        <v>7</v>
      </c>
      <c r="AE18">
        <v>0</v>
      </c>
      <c r="AF18">
        <v>0</v>
      </c>
      <c r="AG18">
        <v>0</v>
      </c>
      <c r="AH1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3</v>
      </c>
      <c r="AN18" s="28">
        <v>-1</v>
      </c>
      <c r="AO18" s="28">
        <v>0</v>
      </c>
      <c r="AP18" s="28">
        <v>2</v>
      </c>
      <c r="AQ18">
        <v>5</v>
      </c>
      <c r="AR18">
        <v>-2</v>
      </c>
      <c r="AS18">
        <v>0</v>
      </c>
      <c r="AT18">
        <v>4</v>
      </c>
    </row>
    <row r="19" spans="1:46" ht="15.75" x14ac:dyDescent="0.25">
      <c r="A19" t="s">
        <v>286</v>
      </c>
      <c r="B19" t="s">
        <v>287</v>
      </c>
      <c r="C19">
        <v>4</v>
      </c>
      <c r="D19">
        <v>-1</v>
      </c>
      <c r="E19">
        <v>0</v>
      </c>
      <c r="F19">
        <v>5</v>
      </c>
      <c r="G19">
        <v>7</v>
      </c>
      <c r="H19">
        <v>-3</v>
      </c>
      <c r="I19">
        <v>1</v>
      </c>
      <c r="J19">
        <v>5</v>
      </c>
      <c r="K19">
        <v>2</v>
      </c>
      <c r="L19">
        <v>0</v>
      </c>
      <c r="M19">
        <v>0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5</v>
      </c>
      <c r="AB19">
        <v>0</v>
      </c>
      <c r="AC19">
        <v>-1</v>
      </c>
      <c r="AD19">
        <v>4</v>
      </c>
      <c r="AE19">
        <v>0</v>
      </c>
      <c r="AF19">
        <v>0</v>
      </c>
      <c r="AG19">
        <v>0</v>
      </c>
      <c r="AH19">
        <v>-1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>
        <v>2</v>
      </c>
      <c r="AR19">
        <v>0</v>
      </c>
      <c r="AS19">
        <v>0</v>
      </c>
      <c r="AT19">
        <v>3</v>
      </c>
    </row>
    <row r="20" spans="1:46" ht="15.75" x14ac:dyDescent="0.25">
      <c r="A20" t="s">
        <v>288</v>
      </c>
      <c r="B20" t="s">
        <v>289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>
        <v>0</v>
      </c>
      <c r="AR20">
        <v>0</v>
      </c>
      <c r="AS20">
        <v>0</v>
      </c>
      <c r="AT20">
        <v>3</v>
      </c>
    </row>
    <row r="21" spans="1:46" ht="15.75" x14ac:dyDescent="0.25">
      <c r="A21" t="s">
        <v>290</v>
      </c>
      <c r="B21" t="s">
        <v>291</v>
      </c>
      <c r="C21">
        <v>0</v>
      </c>
      <c r="D21">
        <v>0</v>
      </c>
      <c r="E21">
        <v>0</v>
      </c>
      <c r="F21">
        <v>5</v>
      </c>
      <c r="G21">
        <v>0</v>
      </c>
      <c r="H21">
        <v>0</v>
      </c>
      <c r="I21">
        <v>0</v>
      </c>
      <c r="J21">
        <v>5</v>
      </c>
      <c r="K21">
        <v>0</v>
      </c>
      <c r="L21">
        <v>-1</v>
      </c>
      <c r="M21">
        <v>0</v>
      </c>
      <c r="N21">
        <v>5</v>
      </c>
      <c r="O21">
        <v>0</v>
      </c>
      <c r="P21">
        <v>-1</v>
      </c>
      <c r="Q21">
        <v>0</v>
      </c>
      <c r="R21">
        <v>2</v>
      </c>
      <c r="S21">
        <v>0</v>
      </c>
      <c r="T21">
        <v>0</v>
      </c>
      <c r="U21">
        <v>0</v>
      </c>
      <c r="V21">
        <v>0</v>
      </c>
      <c r="W21">
        <v>0</v>
      </c>
      <c r="X21">
        <v>-1</v>
      </c>
      <c r="Y21">
        <v>0</v>
      </c>
      <c r="Z21">
        <v>1</v>
      </c>
      <c r="AA21">
        <v>0</v>
      </c>
      <c r="AB21">
        <v>-4</v>
      </c>
      <c r="AC21">
        <v>0</v>
      </c>
      <c r="AD21">
        <v>3</v>
      </c>
      <c r="AE21">
        <v>0</v>
      </c>
      <c r="AF21">
        <v>0</v>
      </c>
      <c r="AG21">
        <v>0</v>
      </c>
      <c r="AH21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3</v>
      </c>
      <c r="AQ21">
        <v>0</v>
      </c>
      <c r="AR21">
        <v>0</v>
      </c>
      <c r="AS21">
        <v>0</v>
      </c>
      <c r="AT21">
        <v>2</v>
      </c>
    </row>
    <row r="22" spans="1:46" ht="15.75" x14ac:dyDescent="0.25">
      <c r="A22" t="s">
        <v>292</v>
      </c>
      <c r="B22" t="s">
        <v>293</v>
      </c>
      <c r="C22">
        <v>0</v>
      </c>
      <c r="D22">
        <v>-1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</v>
      </c>
      <c r="U22">
        <v>0</v>
      </c>
      <c r="V22">
        <v>1</v>
      </c>
      <c r="W22">
        <v>0</v>
      </c>
      <c r="X22">
        <v>-1</v>
      </c>
      <c r="Y22">
        <v>0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-2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>
        <v>0</v>
      </c>
      <c r="AR22">
        <v>0</v>
      </c>
      <c r="AS22">
        <v>0</v>
      </c>
      <c r="AT22">
        <v>2</v>
      </c>
    </row>
    <row r="23" spans="1:46" ht="15.75" x14ac:dyDescent="0.25">
      <c r="A23" t="s">
        <v>294</v>
      </c>
      <c r="B23" t="s">
        <v>295</v>
      </c>
      <c r="C23">
        <v>0</v>
      </c>
      <c r="D23">
        <v>-1</v>
      </c>
      <c r="E23">
        <v>-3</v>
      </c>
      <c r="F23">
        <v>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-1</v>
      </c>
      <c r="Q23">
        <v>0</v>
      </c>
      <c r="R23">
        <v>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3</v>
      </c>
      <c r="AE23">
        <v>0</v>
      </c>
      <c r="AF23">
        <v>0</v>
      </c>
      <c r="AG23">
        <v>0</v>
      </c>
      <c r="AH23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>
        <v>0</v>
      </c>
      <c r="AR23">
        <v>0</v>
      </c>
      <c r="AS23">
        <v>1</v>
      </c>
      <c r="AT23">
        <v>2</v>
      </c>
    </row>
    <row r="24" spans="1:46" ht="15.75" x14ac:dyDescent="0.25">
      <c r="A24" t="s">
        <v>296</v>
      </c>
      <c r="B24" t="s">
        <v>297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-1</v>
      </c>
      <c r="AD24">
        <v>0</v>
      </c>
      <c r="AE24">
        <v>0</v>
      </c>
      <c r="AF24">
        <v>0</v>
      </c>
      <c r="AG24">
        <v>0</v>
      </c>
      <c r="AH24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>
        <v>0</v>
      </c>
      <c r="AR24">
        <v>0</v>
      </c>
      <c r="AS24">
        <v>0</v>
      </c>
      <c r="AT24">
        <v>2</v>
      </c>
    </row>
    <row r="25" spans="1:46" ht="15.75" x14ac:dyDescent="0.25">
      <c r="A25" t="s">
        <v>298</v>
      </c>
      <c r="B25" t="s">
        <v>299</v>
      </c>
      <c r="C25">
        <v>3</v>
      </c>
      <c r="D25">
        <v>-1</v>
      </c>
      <c r="E25">
        <v>0</v>
      </c>
      <c r="F25">
        <v>4</v>
      </c>
      <c r="G25">
        <v>8</v>
      </c>
      <c r="H25">
        <v>-3</v>
      </c>
      <c r="I25">
        <v>0</v>
      </c>
      <c r="J25">
        <v>5</v>
      </c>
      <c r="K25">
        <v>3</v>
      </c>
      <c r="L25">
        <v>0</v>
      </c>
      <c r="M25">
        <v>0</v>
      </c>
      <c r="N25">
        <v>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0</v>
      </c>
      <c r="AC25">
        <v>0</v>
      </c>
      <c r="AD25">
        <v>3</v>
      </c>
      <c r="AE25">
        <v>0</v>
      </c>
      <c r="AF25">
        <v>0</v>
      </c>
      <c r="AG25">
        <v>0</v>
      </c>
      <c r="AH25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>
        <v>3</v>
      </c>
      <c r="AR25">
        <v>-1</v>
      </c>
      <c r="AS25">
        <v>0</v>
      </c>
      <c r="AT25">
        <v>2</v>
      </c>
    </row>
    <row r="26" spans="1:46" ht="15.75" x14ac:dyDescent="0.25">
      <c r="A26" t="s">
        <v>300</v>
      </c>
      <c r="B26" t="s">
        <v>301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-1</v>
      </c>
      <c r="AD26">
        <v>1</v>
      </c>
      <c r="AE26">
        <v>0</v>
      </c>
      <c r="AF26">
        <v>0</v>
      </c>
      <c r="AG26">
        <v>0</v>
      </c>
      <c r="AH26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>
        <v>0</v>
      </c>
      <c r="AR26">
        <v>0</v>
      </c>
      <c r="AS26">
        <v>0</v>
      </c>
      <c r="AT26">
        <v>2</v>
      </c>
    </row>
    <row r="27" spans="1:46" ht="15.75" x14ac:dyDescent="0.25">
      <c r="A27" t="s">
        <v>302</v>
      </c>
      <c r="B27" t="s">
        <v>303</v>
      </c>
      <c r="C27">
        <v>0</v>
      </c>
      <c r="D27">
        <v>-1</v>
      </c>
      <c r="E27">
        <v>0</v>
      </c>
      <c r="F27">
        <v>1</v>
      </c>
      <c r="G27">
        <v>0</v>
      </c>
      <c r="H27">
        <v>0</v>
      </c>
      <c r="I27">
        <v>0</v>
      </c>
      <c r="J27">
        <v>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>
        <v>0</v>
      </c>
      <c r="AR27">
        <v>0</v>
      </c>
      <c r="AS27">
        <v>0</v>
      </c>
      <c r="AT27">
        <v>2</v>
      </c>
    </row>
    <row r="28" spans="1:46" ht="15.75" x14ac:dyDescent="0.25">
      <c r="A28" t="s">
        <v>304</v>
      </c>
      <c r="B28" t="s">
        <v>305</v>
      </c>
      <c r="C28">
        <v>0</v>
      </c>
      <c r="D28">
        <v>-1</v>
      </c>
      <c r="E28">
        <v>0</v>
      </c>
      <c r="F28">
        <v>0</v>
      </c>
      <c r="G28">
        <v>0</v>
      </c>
      <c r="H28">
        <v>-1</v>
      </c>
      <c r="I28">
        <v>2</v>
      </c>
      <c r="J28">
        <v>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</v>
      </c>
      <c r="AE28">
        <v>0</v>
      </c>
      <c r="AF28">
        <v>0</v>
      </c>
      <c r="AG28">
        <v>0</v>
      </c>
      <c r="AH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>
        <v>0</v>
      </c>
      <c r="AR28">
        <v>0</v>
      </c>
      <c r="AS28">
        <v>-2</v>
      </c>
      <c r="AT28">
        <v>2</v>
      </c>
    </row>
    <row r="29" spans="1:46" ht="15.75" x14ac:dyDescent="0.25">
      <c r="A29" t="s">
        <v>306</v>
      </c>
      <c r="B29" t="s">
        <v>307</v>
      </c>
      <c r="C29">
        <v>0</v>
      </c>
      <c r="D29">
        <v>0</v>
      </c>
      <c r="E29">
        <v>-2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</v>
      </c>
      <c r="AE29">
        <v>0</v>
      </c>
      <c r="AF29">
        <v>0</v>
      </c>
      <c r="AG29">
        <v>0</v>
      </c>
      <c r="AH29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>
        <v>0</v>
      </c>
      <c r="AR29">
        <v>-1</v>
      </c>
      <c r="AS29">
        <v>2</v>
      </c>
      <c r="AT29">
        <v>2</v>
      </c>
    </row>
    <row r="30" spans="1:46" ht="15.75" x14ac:dyDescent="0.25">
      <c r="A30" t="s">
        <v>308</v>
      </c>
      <c r="B30" t="s">
        <v>309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>
        <v>0</v>
      </c>
      <c r="AR30">
        <v>0</v>
      </c>
      <c r="AS30">
        <v>0</v>
      </c>
      <c r="AT30">
        <v>2</v>
      </c>
    </row>
    <row r="31" spans="1:46" ht="15.75" x14ac:dyDescent="0.25">
      <c r="A31" t="s">
        <v>310</v>
      </c>
      <c r="B31" t="s">
        <v>311</v>
      </c>
      <c r="C31">
        <v>0</v>
      </c>
      <c r="D31">
        <v>0</v>
      </c>
      <c r="E31">
        <v>0</v>
      </c>
      <c r="F31">
        <v>3</v>
      </c>
      <c r="G31">
        <v>0</v>
      </c>
      <c r="H31">
        <v>-1</v>
      </c>
      <c r="I31">
        <v>0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-1</v>
      </c>
      <c r="AE31">
        <v>0</v>
      </c>
      <c r="AF31">
        <v>0</v>
      </c>
      <c r="AG31">
        <v>0</v>
      </c>
      <c r="AH31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1</v>
      </c>
      <c r="AQ31">
        <v>0</v>
      </c>
      <c r="AR31">
        <v>-1</v>
      </c>
      <c r="AS31">
        <v>0</v>
      </c>
      <c r="AT31">
        <v>1</v>
      </c>
    </row>
    <row r="32" spans="1:46" ht="15.75" x14ac:dyDescent="0.25">
      <c r="A32" t="s">
        <v>312</v>
      </c>
      <c r="B32" t="s">
        <v>313</v>
      </c>
      <c r="C32">
        <v>0</v>
      </c>
      <c r="D32">
        <v>-1</v>
      </c>
      <c r="E32">
        <v>0</v>
      </c>
      <c r="F32">
        <v>5</v>
      </c>
      <c r="G32">
        <v>0</v>
      </c>
      <c r="H32">
        <v>0</v>
      </c>
      <c r="I32">
        <v>0</v>
      </c>
      <c r="J32">
        <v>7</v>
      </c>
      <c r="K32">
        <v>0</v>
      </c>
      <c r="L32">
        <v>0</v>
      </c>
      <c r="M32">
        <v>0</v>
      </c>
      <c r="N32">
        <v>9</v>
      </c>
      <c r="O32">
        <v>0</v>
      </c>
      <c r="P32">
        <v>0</v>
      </c>
      <c r="Q32">
        <v>0</v>
      </c>
      <c r="R32">
        <v>4</v>
      </c>
      <c r="S32">
        <v>0</v>
      </c>
      <c r="T32">
        <v>0</v>
      </c>
      <c r="U32">
        <v>0</v>
      </c>
      <c r="V32">
        <v>3</v>
      </c>
      <c r="W32">
        <v>0</v>
      </c>
      <c r="X32">
        <v>0</v>
      </c>
      <c r="Y32">
        <v>0</v>
      </c>
      <c r="Z32">
        <v>3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>
        <v>0</v>
      </c>
      <c r="AR32">
        <v>0</v>
      </c>
      <c r="AS32">
        <v>0</v>
      </c>
      <c r="AT32">
        <v>1</v>
      </c>
    </row>
    <row r="33" spans="1:46" ht="15.75" x14ac:dyDescent="0.25">
      <c r="A33" t="s">
        <v>314</v>
      </c>
      <c r="B33" t="s">
        <v>315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>
        <v>0</v>
      </c>
      <c r="AR33">
        <v>0</v>
      </c>
      <c r="AS33">
        <v>0</v>
      </c>
      <c r="AT33">
        <v>1</v>
      </c>
    </row>
    <row r="34" spans="1:46" ht="15.75" x14ac:dyDescent="0.25">
      <c r="A34" t="s">
        <v>316</v>
      </c>
      <c r="B34" t="s">
        <v>317</v>
      </c>
      <c r="C34">
        <v>0</v>
      </c>
      <c r="D34">
        <v>0</v>
      </c>
      <c r="E34">
        <v>0</v>
      </c>
      <c r="F34">
        <v>8</v>
      </c>
      <c r="G34">
        <v>0</v>
      </c>
      <c r="H34">
        <v>-1</v>
      </c>
      <c r="I34">
        <v>3</v>
      </c>
      <c r="J34">
        <v>6</v>
      </c>
      <c r="K34">
        <v>0</v>
      </c>
      <c r="L34">
        <v>0</v>
      </c>
      <c r="M34">
        <v>0</v>
      </c>
      <c r="N34">
        <v>4</v>
      </c>
      <c r="O34">
        <v>0</v>
      </c>
      <c r="P34">
        <v>0</v>
      </c>
      <c r="Q34">
        <v>0</v>
      </c>
      <c r="R34">
        <v>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</v>
      </c>
      <c r="AE34">
        <v>0</v>
      </c>
      <c r="AF34">
        <v>0</v>
      </c>
      <c r="AG34">
        <v>0</v>
      </c>
      <c r="AH34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>
        <v>0</v>
      </c>
      <c r="AR34">
        <v>0</v>
      </c>
      <c r="AS34">
        <v>-3</v>
      </c>
      <c r="AT34">
        <v>1</v>
      </c>
    </row>
    <row r="35" spans="1:46" ht="15.75" x14ac:dyDescent="0.25">
      <c r="A35" t="s">
        <v>318</v>
      </c>
      <c r="B35" t="s">
        <v>319</v>
      </c>
      <c r="C35">
        <v>0</v>
      </c>
      <c r="D35">
        <v>0</v>
      </c>
      <c r="E35">
        <v>0</v>
      </c>
      <c r="F35">
        <v>3</v>
      </c>
      <c r="G35">
        <v>0</v>
      </c>
      <c r="H35">
        <v>0</v>
      </c>
      <c r="I35">
        <v>0</v>
      </c>
      <c r="J35">
        <v>4</v>
      </c>
      <c r="K35">
        <v>2</v>
      </c>
      <c r="L35">
        <v>0</v>
      </c>
      <c r="M35">
        <v>0</v>
      </c>
      <c r="N35">
        <v>3</v>
      </c>
      <c r="O35">
        <v>0</v>
      </c>
      <c r="P35">
        <v>0</v>
      </c>
      <c r="Q35">
        <v>0</v>
      </c>
      <c r="R35">
        <v>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>
        <v>0</v>
      </c>
      <c r="AR35">
        <v>0</v>
      </c>
      <c r="AS35">
        <v>0</v>
      </c>
      <c r="AT35">
        <v>1</v>
      </c>
    </row>
    <row r="36" spans="1:46" ht="15.75" x14ac:dyDescent="0.25">
      <c r="A36" t="s">
        <v>320</v>
      </c>
      <c r="B36" t="s">
        <v>321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>
        <v>0</v>
      </c>
      <c r="AR36">
        <v>0</v>
      </c>
      <c r="AS36">
        <v>0</v>
      </c>
      <c r="AT36">
        <v>1</v>
      </c>
    </row>
    <row r="37" spans="1:46" ht="15.75" x14ac:dyDescent="0.25">
      <c r="A37" t="s">
        <v>322</v>
      </c>
      <c r="B37" t="s">
        <v>323</v>
      </c>
      <c r="C37">
        <v>0</v>
      </c>
      <c r="D37">
        <v>-3</v>
      </c>
      <c r="E37">
        <v>0</v>
      </c>
      <c r="F37">
        <v>1</v>
      </c>
      <c r="G37">
        <v>0</v>
      </c>
      <c r="H37">
        <v>0</v>
      </c>
      <c r="I37">
        <v>0</v>
      </c>
      <c r="J37">
        <v>3</v>
      </c>
      <c r="K37">
        <v>0</v>
      </c>
      <c r="L37">
        <v>0</v>
      </c>
      <c r="M37">
        <v>0</v>
      </c>
      <c r="N37">
        <v>11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>
        <v>0</v>
      </c>
      <c r="AR37">
        <v>0</v>
      </c>
      <c r="AS37">
        <v>0</v>
      </c>
      <c r="AT37">
        <v>1</v>
      </c>
    </row>
    <row r="38" spans="1:46" ht="15.75" x14ac:dyDescent="0.25">
      <c r="A38" t="s">
        <v>324</v>
      </c>
      <c r="B38" t="s">
        <v>325</v>
      </c>
      <c r="C38">
        <v>0</v>
      </c>
      <c r="D38">
        <v>0</v>
      </c>
      <c r="E38">
        <v>0</v>
      </c>
      <c r="F38">
        <v>3</v>
      </c>
      <c r="G38">
        <v>0</v>
      </c>
      <c r="H38">
        <v>-1</v>
      </c>
      <c r="I38">
        <v>0</v>
      </c>
      <c r="J38">
        <v>1</v>
      </c>
      <c r="K38">
        <v>0</v>
      </c>
      <c r="L38">
        <v>0</v>
      </c>
      <c r="M38">
        <v>0</v>
      </c>
      <c r="N38">
        <v>7</v>
      </c>
      <c r="O38">
        <v>0</v>
      </c>
      <c r="P38">
        <v>-1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>
        <v>0</v>
      </c>
      <c r="AR38">
        <v>0</v>
      </c>
      <c r="AS38">
        <v>0</v>
      </c>
      <c r="AT38">
        <v>1</v>
      </c>
    </row>
    <row r="39" spans="1:46" ht="15.75" x14ac:dyDescent="0.25">
      <c r="A39" t="s">
        <v>326</v>
      </c>
      <c r="B39" t="s">
        <v>327</v>
      </c>
      <c r="C39">
        <v>0</v>
      </c>
      <c r="D39">
        <v>0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</v>
      </c>
      <c r="AE39">
        <v>0</v>
      </c>
      <c r="AF39">
        <v>0</v>
      </c>
      <c r="AG39">
        <v>0</v>
      </c>
      <c r="AH39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>
        <v>0</v>
      </c>
      <c r="AR39">
        <v>0</v>
      </c>
      <c r="AS39">
        <v>0</v>
      </c>
      <c r="AT39">
        <v>1</v>
      </c>
    </row>
    <row r="40" spans="1:46" ht="15.75" x14ac:dyDescent="0.25">
      <c r="A40" t="s">
        <v>328</v>
      </c>
      <c r="B40" t="s">
        <v>329</v>
      </c>
      <c r="C40">
        <v>0</v>
      </c>
      <c r="D40">
        <v>0</v>
      </c>
      <c r="E40">
        <v>0</v>
      </c>
      <c r="F40">
        <v>0</v>
      </c>
      <c r="G40">
        <v>0</v>
      </c>
      <c r="H40">
        <v>-2</v>
      </c>
      <c r="I40">
        <v>0</v>
      </c>
      <c r="J40">
        <v>0</v>
      </c>
      <c r="K40">
        <v>0</v>
      </c>
      <c r="L40">
        <v>-1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>
        <v>0</v>
      </c>
      <c r="AR40">
        <v>0</v>
      </c>
      <c r="AS40">
        <v>0</v>
      </c>
      <c r="AT40">
        <v>1</v>
      </c>
    </row>
    <row r="41" spans="1:46" ht="15.75" x14ac:dyDescent="0.25">
      <c r="A41" t="s">
        <v>330</v>
      </c>
      <c r="B41" t="s">
        <v>331</v>
      </c>
      <c r="C41">
        <v>0</v>
      </c>
      <c r="D41">
        <v>-2</v>
      </c>
      <c r="E41">
        <v>2</v>
      </c>
      <c r="F41">
        <v>2</v>
      </c>
      <c r="G41">
        <v>0</v>
      </c>
      <c r="H41">
        <v>0</v>
      </c>
      <c r="I41">
        <v>0</v>
      </c>
      <c r="J41">
        <v>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</v>
      </c>
      <c r="AE41">
        <v>0</v>
      </c>
      <c r="AF41">
        <v>0</v>
      </c>
      <c r="AG41">
        <v>0</v>
      </c>
      <c r="AH41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>
        <v>0</v>
      </c>
      <c r="AR41">
        <v>-1</v>
      </c>
      <c r="AS41">
        <v>-2</v>
      </c>
      <c r="AT41">
        <v>1</v>
      </c>
    </row>
    <row r="42" spans="1:46" ht="15.75" x14ac:dyDescent="0.25">
      <c r="A42" t="s">
        <v>332</v>
      </c>
      <c r="B42" t="s">
        <v>333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>
        <v>0</v>
      </c>
      <c r="AR42">
        <v>-1</v>
      </c>
      <c r="AS42">
        <v>0</v>
      </c>
      <c r="AT42">
        <v>1</v>
      </c>
    </row>
    <row r="43" spans="1:46" ht="15.75" x14ac:dyDescent="0.25">
      <c r="A43" t="s">
        <v>334</v>
      </c>
      <c r="B43" t="s">
        <v>335</v>
      </c>
      <c r="C43">
        <v>0</v>
      </c>
      <c r="D43">
        <v>-3</v>
      </c>
      <c r="E43">
        <v>0</v>
      </c>
      <c r="F43">
        <v>0</v>
      </c>
      <c r="G43">
        <v>0</v>
      </c>
      <c r="H43">
        <v>-1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-1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>
        <v>0</v>
      </c>
      <c r="AR43">
        <v>-1</v>
      </c>
      <c r="AS43">
        <v>0</v>
      </c>
      <c r="AT43">
        <v>1</v>
      </c>
    </row>
    <row r="44" spans="1:46" ht="15.75" x14ac:dyDescent="0.25">
      <c r="A44" t="s">
        <v>336</v>
      </c>
      <c r="B44" t="s">
        <v>337</v>
      </c>
      <c r="C44">
        <v>0</v>
      </c>
      <c r="D44">
        <v>0</v>
      </c>
      <c r="E44">
        <v>0</v>
      </c>
      <c r="F44">
        <v>0</v>
      </c>
      <c r="G44">
        <v>2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>
        <v>0</v>
      </c>
      <c r="AR44">
        <v>-1</v>
      </c>
      <c r="AS44">
        <v>0</v>
      </c>
      <c r="AT44">
        <v>1</v>
      </c>
    </row>
    <row r="45" spans="1:46" ht="15.75" x14ac:dyDescent="0.25">
      <c r="A45" t="s">
        <v>338</v>
      </c>
      <c r="B45" t="s">
        <v>339</v>
      </c>
      <c r="C45">
        <v>0</v>
      </c>
      <c r="D45">
        <v>0</v>
      </c>
      <c r="E45">
        <v>0</v>
      </c>
      <c r="F45">
        <v>7</v>
      </c>
      <c r="G45">
        <v>0</v>
      </c>
      <c r="H45">
        <v>-1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3</v>
      </c>
      <c r="AE45">
        <v>0</v>
      </c>
      <c r="AF45">
        <v>0</v>
      </c>
      <c r="AG45">
        <v>0</v>
      </c>
      <c r="AH45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>
        <v>0</v>
      </c>
      <c r="AR45">
        <v>-1</v>
      </c>
      <c r="AS45">
        <v>0</v>
      </c>
      <c r="AT45">
        <v>1</v>
      </c>
    </row>
    <row r="46" spans="1:46" ht="15.75" x14ac:dyDescent="0.25">
      <c r="A46" t="s">
        <v>340</v>
      </c>
      <c r="B46" t="s">
        <v>341</v>
      </c>
      <c r="C46">
        <v>0</v>
      </c>
      <c r="D46">
        <v>0</v>
      </c>
      <c r="E46">
        <v>0</v>
      </c>
      <c r="F46">
        <v>3</v>
      </c>
      <c r="G46">
        <v>0</v>
      </c>
      <c r="H46">
        <v>-1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>
        <v>0</v>
      </c>
      <c r="AR46">
        <v>-1</v>
      </c>
      <c r="AS46">
        <v>0</v>
      </c>
      <c r="AT46">
        <v>1</v>
      </c>
    </row>
    <row r="47" spans="1:46" ht="15.75" x14ac:dyDescent="0.25">
      <c r="A47" t="s">
        <v>342</v>
      </c>
      <c r="B47" t="s">
        <v>343</v>
      </c>
      <c r="C47">
        <v>0</v>
      </c>
      <c r="D47">
        <v>-2</v>
      </c>
      <c r="E47">
        <v>0</v>
      </c>
      <c r="F47">
        <v>1</v>
      </c>
      <c r="G47">
        <v>0</v>
      </c>
      <c r="H47">
        <v>-3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-1</v>
      </c>
      <c r="AC47">
        <v>0</v>
      </c>
      <c r="AD47">
        <v>2</v>
      </c>
      <c r="AE47">
        <v>0</v>
      </c>
      <c r="AF47">
        <v>0</v>
      </c>
      <c r="AG47">
        <v>0</v>
      </c>
      <c r="AH47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>
        <v>0</v>
      </c>
      <c r="AR47">
        <v>-1</v>
      </c>
      <c r="AS47">
        <v>0</v>
      </c>
      <c r="AT47">
        <v>1</v>
      </c>
    </row>
    <row r="48" spans="1:46" ht="15.75" x14ac:dyDescent="0.25">
      <c r="A48" t="s">
        <v>344</v>
      </c>
      <c r="B48" t="s">
        <v>345</v>
      </c>
      <c r="C48">
        <v>0</v>
      </c>
      <c r="D48">
        <v>-1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>
        <v>0</v>
      </c>
      <c r="AR48">
        <v>0</v>
      </c>
      <c r="AS48">
        <v>0</v>
      </c>
      <c r="AT48">
        <v>1</v>
      </c>
    </row>
    <row r="49" spans="1:46" ht="15.75" x14ac:dyDescent="0.25">
      <c r="A49" t="s">
        <v>346</v>
      </c>
      <c r="B49" t="s">
        <v>347</v>
      </c>
      <c r="C49">
        <v>0</v>
      </c>
      <c r="D49">
        <v>0</v>
      </c>
      <c r="E49">
        <v>0</v>
      </c>
      <c r="F49">
        <v>1</v>
      </c>
      <c r="G49">
        <v>0</v>
      </c>
      <c r="H49">
        <v>-2</v>
      </c>
      <c r="I49">
        <v>0</v>
      </c>
      <c r="J49">
        <v>4</v>
      </c>
      <c r="K49">
        <v>0</v>
      </c>
      <c r="L49">
        <v>0</v>
      </c>
      <c r="M49">
        <v>0</v>
      </c>
      <c r="N49">
        <v>5</v>
      </c>
      <c r="O49">
        <v>0</v>
      </c>
      <c r="P49">
        <v>-1</v>
      </c>
      <c r="Q49">
        <v>0</v>
      </c>
      <c r="R49">
        <v>4</v>
      </c>
      <c r="S49">
        <v>0</v>
      </c>
      <c r="T49">
        <v>0</v>
      </c>
      <c r="U49">
        <v>0</v>
      </c>
      <c r="V49">
        <v>6</v>
      </c>
      <c r="W49">
        <v>0</v>
      </c>
      <c r="X49">
        <v>0</v>
      </c>
      <c r="Y49">
        <v>0</v>
      </c>
      <c r="Z49">
        <v>2</v>
      </c>
      <c r="AA49">
        <v>0</v>
      </c>
      <c r="AB49">
        <v>0</v>
      </c>
      <c r="AC49">
        <v>0</v>
      </c>
      <c r="AD49">
        <v>4</v>
      </c>
      <c r="AE49">
        <v>0</v>
      </c>
      <c r="AF49">
        <v>0</v>
      </c>
      <c r="AG49">
        <v>0</v>
      </c>
      <c r="AH49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5</v>
      </c>
      <c r="AQ49">
        <v>0</v>
      </c>
      <c r="AR49">
        <v>0</v>
      </c>
      <c r="AS49">
        <v>0</v>
      </c>
      <c r="AT49">
        <v>0</v>
      </c>
    </row>
    <row r="50" spans="1:46" ht="15.75" x14ac:dyDescent="0.25">
      <c r="A50" t="s">
        <v>348</v>
      </c>
      <c r="B50" t="s">
        <v>349</v>
      </c>
      <c r="C50">
        <v>0</v>
      </c>
      <c r="D50">
        <v>0</v>
      </c>
      <c r="E50">
        <v>0</v>
      </c>
      <c r="F50">
        <v>5</v>
      </c>
      <c r="G50">
        <v>0</v>
      </c>
      <c r="H50">
        <v>0</v>
      </c>
      <c r="I50">
        <v>4</v>
      </c>
      <c r="J50">
        <v>6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-4</v>
      </c>
      <c r="AD50">
        <v>0</v>
      </c>
      <c r="AE50">
        <v>0</v>
      </c>
      <c r="AF50">
        <v>0</v>
      </c>
      <c r="AG50">
        <v>0</v>
      </c>
      <c r="AH50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5</v>
      </c>
      <c r="AQ50">
        <v>0</v>
      </c>
      <c r="AR50">
        <v>0</v>
      </c>
      <c r="AS50">
        <v>0</v>
      </c>
      <c r="AT50">
        <v>0</v>
      </c>
    </row>
    <row r="51" spans="1:46" ht="15.75" x14ac:dyDescent="0.25">
      <c r="A51" t="s">
        <v>350</v>
      </c>
      <c r="B51" t="s">
        <v>351</v>
      </c>
      <c r="C51">
        <v>0</v>
      </c>
      <c r="D51">
        <v>-2</v>
      </c>
      <c r="E51">
        <v>0</v>
      </c>
      <c r="F51">
        <v>0</v>
      </c>
      <c r="G51">
        <v>0</v>
      </c>
      <c r="H51">
        <v>-2</v>
      </c>
      <c r="I51">
        <v>4</v>
      </c>
      <c r="J51">
        <v>5</v>
      </c>
      <c r="K51">
        <v>0</v>
      </c>
      <c r="L51">
        <v>0</v>
      </c>
      <c r="M51">
        <v>0</v>
      </c>
      <c r="N51">
        <v>3</v>
      </c>
      <c r="O51">
        <v>0</v>
      </c>
      <c r="P51">
        <v>-1</v>
      </c>
      <c r="Q51">
        <v>0</v>
      </c>
      <c r="R51">
        <v>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-1</v>
      </c>
      <c r="AC51">
        <v>-4</v>
      </c>
      <c r="AD51">
        <v>0</v>
      </c>
      <c r="AE51">
        <v>0</v>
      </c>
      <c r="AF51">
        <v>0</v>
      </c>
      <c r="AG51">
        <v>0</v>
      </c>
      <c r="AH51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5</v>
      </c>
      <c r="AQ51">
        <v>0</v>
      </c>
      <c r="AR51">
        <v>0</v>
      </c>
      <c r="AS51">
        <v>0</v>
      </c>
      <c r="AT51">
        <v>0</v>
      </c>
    </row>
    <row r="52" spans="1:46" ht="15.75" x14ac:dyDescent="0.25">
      <c r="A52" t="s">
        <v>352</v>
      </c>
      <c r="B52" t="s">
        <v>353</v>
      </c>
      <c r="C52">
        <v>0</v>
      </c>
      <c r="D52">
        <v>-2</v>
      </c>
      <c r="E52">
        <v>0</v>
      </c>
      <c r="F52">
        <v>6</v>
      </c>
      <c r="G52">
        <v>0</v>
      </c>
      <c r="H52">
        <v>0</v>
      </c>
      <c r="I52">
        <v>0</v>
      </c>
      <c r="J52">
        <v>3</v>
      </c>
      <c r="K52">
        <v>0</v>
      </c>
      <c r="L52">
        <v>0</v>
      </c>
      <c r="M52">
        <v>0</v>
      </c>
      <c r="N52">
        <v>6</v>
      </c>
      <c r="O52">
        <v>0</v>
      </c>
      <c r="P52">
        <v>0</v>
      </c>
      <c r="Q52">
        <v>0</v>
      </c>
      <c r="R52">
        <v>4</v>
      </c>
      <c r="S52">
        <v>0</v>
      </c>
      <c r="T52">
        <v>-1</v>
      </c>
      <c r="U52">
        <v>-2</v>
      </c>
      <c r="V52">
        <v>3</v>
      </c>
      <c r="W52">
        <v>0</v>
      </c>
      <c r="X52">
        <v>0</v>
      </c>
      <c r="Y52">
        <v>0</v>
      </c>
      <c r="Z52">
        <v>4</v>
      </c>
      <c r="AA52">
        <v>0</v>
      </c>
      <c r="AB52">
        <v>-1</v>
      </c>
      <c r="AC52">
        <v>1</v>
      </c>
      <c r="AD52">
        <v>4</v>
      </c>
      <c r="AE52">
        <v>0</v>
      </c>
      <c r="AF52">
        <v>0</v>
      </c>
      <c r="AG52">
        <v>0</v>
      </c>
      <c r="AH52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4</v>
      </c>
      <c r="AQ52">
        <v>0</v>
      </c>
      <c r="AR52">
        <v>-2</v>
      </c>
      <c r="AS52">
        <v>1</v>
      </c>
      <c r="AT52">
        <v>0</v>
      </c>
    </row>
    <row r="53" spans="1:46" ht="15.75" x14ac:dyDescent="0.25">
      <c r="A53" t="s">
        <v>354</v>
      </c>
      <c r="B53" t="s">
        <v>355</v>
      </c>
      <c r="C53">
        <v>0</v>
      </c>
      <c r="D53">
        <v>0</v>
      </c>
      <c r="E53">
        <v>0</v>
      </c>
      <c r="F53">
        <v>3</v>
      </c>
      <c r="G53">
        <v>0</v>
      </c>
      <c r="H53">
        <v>0</v>
      </c>
      <c r="I53">
        <v>2</v>
      </c>
      <c r="J53">
        <v>4</v>
      </c>
      <c r="K53">
        <v>0</v>
      </c>
      <c r="L53">
        <v>-1</v>
      </c>
      <c r="M53">
        <v>0</v>
      </c>
      <c r="N53">
        <v>1</v>
      </c>
      <c r="O53">
        <v>0</v>
      </c>
      <c r="P53">
        <v>0</v>
      </c>
      <c r="Q53">
        <v>0</v>
      </c>
      <c r="R53">
        <v>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-2</v>
      </c>
      <c r="AD53">
        <v>1</v>
      </c>
      <c r="AE53">
        <v>0</v>
      </c>
      <c r="AF53">
        <v>0</v>
      </c>
      <c r="AG53">
        <v>0</v>
      </c>
      <c r="AH53">
        <v>0</v>
      </c>
      <c r="AI53" s="28">
        <v>0</v>
      </c>
      <c r="AJ53" s="28">
        <v>0</v>
      </c>
      <c r="AK53" s="28">
        <v>0</v>
      </c>
      <c r="AL53" s="28">
        <v>0</v>
      </c>
      <c r="AM53" s="28">
        <v>0</v>
      </c>
      <c r="AN53" s="28">
        <v>0</v>
      </c>
      <c r="AO53" s="28">
        <v>0</v>
      </c>
      <c r="AP53" s="28">
        <v>4</v>
      </c>
      <c r="AQ53">
        <v>0</v>
      </c>
      <c r="AR53">
        <v>0</v>
      </c>
      <c r="AS53">
        <v>0</v>
      </c>
      <c r="AT53">
        <v>0</v>
      </c>
    </row>
    <row r="54" spans="1:46" ht="15.75" x14ac:dyDescent="0.25">
      <c r="A54" t="s">
        <v>356</v>
      </c>
      <c r="B54" t="s">
        <v>357</v>
      </c>
      <c r="C54">
        <v>0</v>
      </c>
      <c r="D54">
        <v>-1</v>
      </c>
      <c r="E54">
        <v>0</v>
      </c>
      <c r="F54">
        <v>3</v>
      </c>
      <c r="G54">
        <v>0</v>
      </c>
      <c r="H54">
        <v>0</v>
      </c>
      <c r="I54">
        <v>3</v>
      </c>
      <c r="J54">
        <v>5</v>
      </c>
      <c r="K54">
        <v>0</v>
      </c>
      <c r="L54">
        <v>0</v>
      </c>
      <c r="M54">
        <v>0</v>
      </c>
      <c r="N54">
        <v>3</v>
      </c>
      <c r="O54">
        <v>0</v>
      </c>
      <c r="P54">
        <v>-1</v>
      </c>
      <c r="Q54">
        <v>0</v>
      </c>
      <c r="R54">
        <v>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</v>
      </c>
      <c r="AA54">
        <v>0</v>
      </c>
      <c r="AB54">
        <v>0</v>
      </c>
      <c r="AC54">
        <v>-3</v>
      </c>
      <c r="AD54">
        <v>0</v>
      </c>
      <c r="AE54">
        <v>0</v>
      </c>
      <c r="AF54">
        <v>0</v>
      </c>
      <c r="AG54">
        <v>0</v>
      </c>
      <c r="AH54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3</v>
      </c>
      <c r="AQ54">
        <v>0</v>
      </c>
      <c r="AR54">
        <v>0</v>
      </c>
      <c r="AS54">
        <v>0</v>
      </c>
      <c r="AT54">
        <v>0</v>
      </c>
    </row>
    <row r="55" spans="1:46" ht="15.75" x14ac:dyDescent="0.25">
      <c r="A55" t="s">
        <v>358</v>
      </c>
      <c r="B55" t="s">
        <v>359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3</v>
      </c>
      <c r="J55">
        <v>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-3</v>
      </c>
      <c r="AD55">
        <v>0</v>
      </c>
      <c r="AE55">
        <v>0</v>
      </c>
      <c r="AF55">
        <v>0</v>
      </c>
      <c r="AG55">
        <v>0</v>
      </c>
      <c r="AH55">
        <v>0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3</v>
      </c>
      <c r="AQ55">
        <v>0</v>
      </c>
      <c r="AR55">
        <v>0</v>
      </c>
      <c r="AS55">
        <v>0</v>
      </c>
      <c r="AT55">
        <v>0</v>
      </c>
    </row>
    <row r="56" spans="1:46" ht="15.75" x14ac:dyDescent="0.25">
      <c r="A56" t="s">
        <v>360</v>
      </c>
      <c r="B56" t="s">
        <v>361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1</v>
      </c>
      <c r="J56">
        <v>1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-1</v>
      </c>
      <c r="AD56">
        <v>0</v>
      </c>
      <c r="AE56">
        <v>0</v>
      </c>
      <c r="AF56">
        <v>0</v>
      </c>
      <c r="AG56">
        <v>0</v>
      </c>
      <c r="AH56">
        <v>0</v>
      </c>
      <c r="AI56" s="28">
        <v>0</v>
      </c>
      <c r="AJ56" s="28">
        <v>0</v>
      </c>
      <c r="AK56" s="28">
        <v>0</v>
      </c>
      <c r="AL56" s="28">
        <v>0</v>
      </c>
      <c r="AM56" s="28">
        <v>0</v>
      </c>
      <c r="AN56" s="28">
        <v>0</v>
      </c>
      <c r="AO56" s="28">
        <v>0</v>
      </c>
      <c r="AP56" s="28">
        <v>3</v>
      </c>
      <c r="AQ56">
        <v>0</v>
      </c>
      <c r="AR56">
        <v>0</v>
      </c>
      <c r="AS56">
        <v>0</v>
      </c>
      <c r="AT56">
        <v>0</v>
      </c>
    </row>
    <row r="57" spans="1:46" ht="15.75" x14ac:dyDescent="0.25">
      <c r="A57" t="s">
        <v>362</v>
      </c>
      <c r="B57" t="s">
        <v>363</v>
      </c>
      <c r="C57">
        <v>0</v>
      </c>
      <c r="D57">
        <v>0</v>
      </c>
      <c r="E57">
        <v>0</v>
      </c>
      <c r="F57">
        <v>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s="28">
        <v>0</v>
      </c>
      <c r="AJ57" s="28">
        <v>0</v>
      </c>
      <c r="AK57" s="28">
        <v>0</v>
      </c>
      <c r="AL57" s="28">
        <v>0</v>
      </c>
      <c r="AM57" s="28">
        <v>0</v>
      </c>
      <c r="AN57" s="28">
        <v>0</v>
      </c>
      <c r="AO57" s="28">
        <v>0</v>
      </c>
      <c r="AP57" s="28">
        <v>3</v>
      </c>
      <c r="AQ57">
        <v>0</v>
      </c>
      <c r="AR57">
        <v>0</v>
      </c>
      <c r="AS57">
        <v>0</v>
      </c>
      <c r="AT57">
        <v>0</v>
      </c>
    </row>
    <row r="58" spans="1:46" ht="15.75" x14ac:dyDescent="0.25">
      <c r="A58" t="s">
        <v>364</v>
      </c>
      <c r="B58" t="s">
        <v>365</v>
      </c>
      <c r="C58">
        <v>0</v>
      </c>
      <c r="D58">
        <v>0</v>
      </c>
      <c r="E58">
        <v>0</v>
      </c>
      <c r="F58">
        <v>3</v>
      </c>
      <c r="G58">
        <v>0</v>
      </c>
      <c r="H58">
        <v>0</v>
      </c>
      <c r="I58">
        <v>5</v>
      </c>
      <c r="J58">
        <v>8</v>
      </c>
      <c r="K58">
        <v>0</v>
      </c>
      <c r="L58">
        <v>-1</v>
      </c>
      <c r="M58">
        <v>0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-5</v>
      </c>
      <c r="AD58">
        <v>0</v>
      </c>
      <c r="AE58">
        <v>0</v>
      </c>
      <c r="AF58">
        <v>0</v>
      </c>
      <c r="AG58">
        <v>0</v>
      </c>
      <c r="AH58">
        <v>0</v>
      </c>
      <c r="AI58" s="28">
        <v>0</v>
      </c>
      <c r="AJ58" s="28">
        <v>0</v>
      </c>
      <c r="AK58" s="28">
        <v>0</v>
      </c>
      <c r="AL58" s="28">
        <v>0</v>
      </c>
      <c r="AM58" s="28">
        <v>0</v>
      </c>
      <c r="AN58" s="28">
        <v>0</v>
      </c>
      <c r="AO58" s="28">
        <v>0</v>
      </c>
      <c r="AP58" s="28">
        <v>2</v>
      </c>
      <c r="AQ58">
        <v>0</v>
      </c>
      <c r="AR58">
        <v>0</v>
      </c>
      <c r="AS58">
        <v>0</v>
      </c>
      <c r="AT58">
        <v>0</v>
      </c>
    </row>
    <row r="59" spans="1:46" ht="15.75" x14ac:dyDescent="0.25">
      <c r="A59" t="s">
        <v>366</v>
      </c>
      <c r="B59" t="s">
        <v>367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2</v>
      </c>
      <c r="AQ59">
        <v>0</v>
      </c>
      <c r="AR59">
        <v>0</v>
      </c>
      <c r="AS59">
        <v>0</v>
      </c>
      <c r="AT59">
        <v>0</v>
      </c>
    </row>
    <row r="60" spans="1:46" ht="15.75" x14ac:dyDescent="0.25">
      <c r="A60" t="s">
        <v>368</v>
      </c>
      <c r="B60" t="s">
        <v>369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2</v>
      </c>
      <c r="AQ60">
        <v>0</v>
      </c>
      <c r="AR60">
        <v>0</v>
      </c>
      <c r="AS60">
        <v>0</v>
      </c>
      <c r="AT60">
        <v>0</v>
      </c>
    </row>
    <row r="61" spans="1:46" ht="15.75" x14ac:dyDescent="0.25">
      <c r="A61" t="s">
        <v>370</v>
      </c>
      <c r="B61" t="s">
        <v>371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2</v>
      </c>
      <c r="AQ61">
        <v>0</v>
      </c>
      <c r="AR61">
        <v>0</v>
      </c>
      <c r="AS61">
        <v>0</v>
      </c>
      <c r="AT61">
        <v>0</v>
      </c>
    </row>
    <row r="62" spans="1:46" ht="15.75" x14ac:dyDescent="0.25">
      <c r="A62" t="s">
        <v>372</v>
      </c>
      <c r="B62" t="s">
        <v>373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-2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 s="28">
        <v>0</v>
      </c>
      <c r="AJ62" s="28">
        <v>0</v>
      </c>
      <c r="AK62" s="28">
        <v>0</v>
      </c>
      <c r="AL62" s="28">
        <v>0</v>
      </c>
      <c r="AM62" s="28">
        <v>0</v>
      </c>
      <c r="AN62" s="28">
        <v>-2</v>
      </c>
      <c r="AO62" s="28">
        <v>0</v>
      </c>
      <c r="AP62" s="28">
        <v>1</v>
      </c>
      <c r="AQ62">
        <v>0</v>
      </c>
      <c r="AR62">
        <v>0</v>
      </c>
      <c r="AS62">
        <v>0</v>
      </c>
      <c r="AT62">
        <v>0</v>
      </c>
    </row>
    <row r="63" spans="1:46" ht="15.75" x14ac:dyDescent="0.25">
      <c r="A63" t="s">
        <v>374</v>
      </c>
      <c r="B63" t="s">
        <v>375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-1</v>
      </c>
      <c r="AI63" s="28">
        <v>0</v>
      </c>
      <c r="AJ63" s="28">
        <v>0</v>
      </c>
      <c r="AK63" s="28">
        <v>0</v>
      </c>
      <c r="AL63" s="28">
        <v>0</v>
      </c>
      <c r="AM63" s="28">
        <v>0</v>
      </c>
      <c r="AN63" s="28">
        <v>0</v>
      </c>
      <c r="AO63" s="28">
        <v>0</v>
      </c>
      <c r="AP63" s="28">
        <v>1</v>
      </c>
      <c r="AQ63">
        <v>0</v>
      </c>
      <c r="AR63">
        <v>0</v>
      </c>
      <c r="AS63">
        <v>0</v>
      </c>
      <c r="AT63">
        <v>0</v>
      </c>
    </row>
    <row r="64" spans="1:46" ht="15.75" x14ac:dyDescent="0.25">
      <c r="A64" t="s">
        <v>376</v>
      </c>
      <c r="B64" t="s">
        <v>377</v>
      </c>
      <c r="C64">
        <v>0</v>
      </c>
      <c r="D64">
        <v>0</v>
      </c>
      <c r="E64">
        <v>0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1</v>
      </c>
      <c r="AQ64">
        <v>0</v>
      </c>
      <c r="AR64">
        <v>0</v>
      </c>
      <c r="AS64">
        <v>0</v>
      </c>
      <c r="AT64">
        <v>0</v>
      </c>
    </row>
    <row r="65" spans="1:46" ht="15.75" x14ac:dyDescent="0.25">
      <c r="A65" t="s">
        <v>378</v>
      </c>
      <c r="B65" t="s">
        <v>379</v>
      </c>
      <c r="C65">
        <v>0</v>
      </c>
      <c r="D65">
        <v>0</v>
      </c>
      <c r="E65">
        <v>0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</v>
      </c>
      <c r="AE65">
        <v>0</v>
      </c>
      <c r="AF65">
        <v>0</v>
      </c>
      <c r="AG65">
        <v>0</v>
      </c>
      <c r="AH65">
        <v>0</v>
      </c>
      <c r="AI65" s="28">
        <v>0</v>
      </c>
      <c r="AJ65" s="28">
        <v>0</v>
      </c>
      <c r="AK65" s="28">
        <v>0</v>
      </c>
      <c r="AL65" s="28">
        <v>0</v>
      </c>
      <c r="AM65" s="28">
        <v>0</v>
      </c>
      <c r="AN65" s="28">
        <v>0</v>
      </c>
      <c r="AO65" s="28">
        <v>0</v>
      </c>
      <c r="AP65" s="28">
        <v>1</v>
      </c>
      <c r="AQ65">
        <v>0</v>
      </c>
      <c r="AR65">
        <v>0</v>
      </c>
      <c r="AS65">
        <v>0</v>
      </c>
      <c r="AT65">
        <v>0</v>
      </c>
    </row>
    <row r="66" spans="1:46" ht="15.75" x14ac:dyDescent="0.25">
      <c r="A66" t="s">
        <v>380</v>
      </c>
      <c r="B66" t="s">
        <v>381</v>
      </c>
      <c r="C66">
        <v>0</v>
      </c>
      <c r="D66">
        <v>0</v>
      </c>
      <c r="E66">
        <v>0</v>
      </c>
      <c r="F66">
        <v>1</v>
      </c>
      <c r="G66">
        <v>0</v>
      </c>
      <c r="H66">
        <v>-1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-1</v>
      </c>
      <c r="AI66" s="28">
        <v>0</v>
      </c>
      <c r="AJ66" s="28">
        <v>0</v>
      </c>
      <c r="AK66" s="28">
        <v>0</v>
      </c>
      <c r="AL66" s="28">
        <v>0</v>
      </c>
      <c r="AM66" s="28">
        <v>0</v>
      </c>
      <c r="AN66" s="28">
        <v>0</v>
      </c>
      <c r="AO66" s="28">
        <v>0</v>
      </c>
      <c r="AP66" s="28">
        <v>1</v>
      </c>
      <c r="AQ66">
        <v>0</v>
      </c>
      <c r="AR66">
        <v>0</v>
      </c>
      <c r="AS66">
        <v>0</v>
      </c>
      <c r="AT66">
        <v>0</v>
      </c>
    </row>
    <row r="67" spans="1:46" ht="15.75" x14ac:dyDescent="0.25">
      <c r="A67" t="s">
        <v>382</v>
      </c>
      <c r="B67" t="s">
        <v>383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s="28">
        <v>0</v>
      </c>
      <c r="AJ67" s="28">
        <v>0</v>
      </c>
      <c r="AK67" s="28">
        <v>0</v>
      </c>
      <c r="AL67" s="28">
        <v>0</v>
      </c>
      <c r="AM67" s="28">
        <v>0</v>
      </c>
      <c r="AN67" s="28">
        <v>0</v>
      </c>
      <c r="AO67" s="28">
        <v>0</v>
      </c>
      <c r="AP67" s="28">
        <v>1</v>
      </c>
      <c r="AQ67">
        <v>0</v>
      </c>
      <c r="AR67">
        <v>0</v>
      </c>
      <c r="AS67">
        <v>0</v>
      </c>
      <c r="AT67">
        <v>0</v>
      </c>
    </row>
    <row r="68" spans="1:46" ht="15.75" x14ac:dyDescent="0.25">
      <c r="A68" t="s">
        <v>384</v>
      </c>
      <c r="B68" t="s">
        <v>385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s="28">
        <v>0</v>
      </c>
      <c r="AJ68" s="28">
        <v>0</v>
      </c>
      <c r="AK68" s="28">
        <v>0</v>
      </c>
      <c r="AL68" s="28">
        <v>0</v>
      </c>
      <c r="AM68" s="28">
        <v>0</v>
      </c>
      <c r="AN68" s="28">
        <v>0</v>
      </c>
      <c r="AO68" s="28">
        <v>0</v>
      </c>
      <c r="AP68" s="28">
        <v>1</v>
      </c>
      <c r="AQ68">
        <v>0</v>
      </c>
      <c r="AR68">
        <v>0</v>
      </c>
      <c r="AS68">
        <v>0</v>
      </c>
      <c r="AT68">
        <v>0</v>
      </c>
    </row>
    <row r="69" spans="1:46" ht="15.75" x14ac:dyDescent="0.25">
      <c r="A69" t="s">
        <v>386</v>
      </c>
      <c r="B69" t="s">
        <v>387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-1</v>
      </c>
      <c r="AI69" s="28">
        <v>0</v>
      </c>
      <c r="AJ69" s="28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0</v>
      </c>
      <c r="AP69" s="28">
        <v>1</v>
      </c>
      <c r="AQ69">
        <v>0</v>
      </c>
      <c r="AR69">
        <v>0</v>
      </c>
      <c r="AS69">
        <v>0</v>
      </c>
      <c r="AT69">
        <v>0</v>
      </c>
    </row>
    <row r="70" spans="1:46" ht="15.75" x14ac:dyDescent="0.25">
      <c r="A70" t="s">
        <v>388</v>
      </c>
      <c r="B70" t="s">
        <v>389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1</v>
      </c>
      <c r="AQ70">
        <v>0</v>
      </c>
      <c r="AR70">
        <v>0</v>
      </c>
      <c r="AS70">
        <v>0</v>
      </c>
      <c r="AT70">
        <v>0</v>
      </c>
    </row>
    <row r="71" spans="1:46" ht="15.75" x14ac:dyDescent="0.25">
      <c r="A71" t="s">
        <v>390</v>
      </c>
      <c r="B71" t="s">
        <v>391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s="28">
        <v>0</v>
      </c>
      <c r="AJ71" s="28">
        <v>0</v>
      </c>
      <c r="AK71" s="28">
        <v>0</v>
      </c>
      <c r="AL71" s="28">
        <v>0</v>
      </c>
      <c r="AM71" s="28">
        <v>0</v>
      </c>
      <c r="AN71" s="28">
        <v>0</v>
      </c>
      <c r="AO71" s="28">
        <v>0</v>
      </c>
      <c r="AP71" s="28">
        <v>1</v>
      </c>
      <c r="AQ71">
        <v>0</v>
      </c>
      <c r="AR71">
        <v>0</v>
      </c>
      <c r="AS71">
        <v>0</v>
      </c>
      <c r="AT71">
        <v>0</v>
      </c>
    </row>
    <row r="72" spans="1:46" ht="15.75" x14ac:dyDescent="0.25">
      <c r="A72" t="s">
        <v>392</v>
      </c>
      <c r="B72" t="s">
        <v>393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s="28">
        <v>0</v>
      </c>
      <c r="AJ72" s="28">
        <v>0</v>
      </c>
      <c r="AK72" s="28">
        <v>0</v>
      </c>
      <c r="AL72" s="28">
        <v>0</v>
      </c>
      <c r="AM72" s="28">
        <v>0</v>
      </c>
      <c r="AN72" s="28">
        <v>0</v>
      </c>
      <c r="AO72" s="28">
        <v>0</v>
      </c>
      <c r="AP72" s="28">
        <v>1</v>
      </c>
      <c r="AQ72">
        <v>0</v>
      </c>
      <c r="AR72">
        <v>0</v>
      </c>
      <c r="AS72">
        <v>0</v>
      </c>
      <c r="AT72">
        <v>0</v>
      </c>
    </row>
    <row r="73" spans="1:46" ht="15.75" x14ac:dyDescent="0.25">
      <c r="A73" t="s">
        <v>394</v>
      </c>
      <c r="B73" t="s">
        <v>395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s="28">
        <v>0</v>
      </c>
      <c r="AJ73" s="28">
        <v>0</v>
      </c>
      <c r="AK73" s="28">
        <v>0</v>
      </c>
      <c r="AL73" s="28">
        <v>0</v>
      </c>
      <c r="AM73" s="28">
        <v>0</v>
      </c>
      <c r="AN73" s="28">
        <v>0</v>
      </c>
      <c r="AO73" s="28">
        <v>0</v>
      </c>
      <c r="AP73" s="28">
        <v>1</v>
      </c>
      <c r="AQ73">
        <v>0</v>
      </c>
      <c r="AR73">
        <v>0</v>
      </c>
      <c r="AS73">
        <v>0</v>
      </c>
      <c r="AT73">
        <v>0</v>
      </c>
    </row>
    <row r="74" spans="1:46" ht="15.75" x14ac:dyDescent="0.25">
      <c r="A74" t="s">
        <v>396</v>
      </c>
      <c r="B74" t="s">
        <v>397</v>
      </c>
      <c r="C74">
        <v>0</v>
      </c>
      <c r="D74">
        <v>-1</v>
      </c>
      <c r="E74">
        <v>0</v>
      </c>
      <c r="F74">
        <v>2</v>
      </c>
      <c r="G74">
        <v>0</v>
      </c>
      <c r="H74">
        <v>0</v>
      </c>
      <c r="I74">
        <v>3</v>
      </c>
      <c r="J74">
        <v>4</v>
      </c>
      <c r="K74">
        <v>0</v>
      </c>
      <c r="L74">
        <v>-1</v>
      </c>
      <c r="M74">
        <v>0</v>
      </c>
      <c r="N74">
        <v>4</v>
      </c>
      <c r="O74">
        <v>0</v>
      </c>
      <c r="P74">
        <v>-1</v>
      </c>
      <c r="Q74">
        <v>0</v>
      </c>
      <c r="R74">
        <v>3</v>
      </c>
      <c r="S74">
        <v>0</v>
      </c>
      <c r="T74">
        <v>0</v>
      </c>
      <c r="U74">
        <v>0</v>
      </c>
      <c r="V74">
        <v>5</v>
      </c>
      <c r="W74">
        <v>0</v>
      </c>
      <c r="X74">
        <v>0</v>
      </c>
      <c r="Y74">
        <v>0</v>
      </c>
      <c r="Z74">
        <v>2</v>
      </c>
      <c r="AA74">
        <v>0</v>
      </c>
      <c r="AB74">
        <v>0</v>
      </c>
      <c r="AC74">
        <v>-3</v>
      </c>
      <c r="AD74">
        <v>0</v>
      </c>
      <c r="AE74">
        <v>0</v>
      </c>
      <c r="AF74">
        <v>0</v>
      </c>
      <c r="AG74">
        <v>0</v>
      </c>
      <c r="AH74">
        <v>0</v>
      </c>
      <c r="AI74" s="28">
        <v>0</v>
      </c>
      <c r="AJ74" s="28">
        <v>0</v>
      </c>
      <c r="AK74" s="28">
        <v>0</v>
      </c>
      <c r="AL74" s="28">
        <v>0</v>
      </c>
      <c r="AM74" s="28">
        <v>0</v>
      </c>
      <c r="AN74" s="28">
        <v>0</v>
      </c>
      <c r="AO74" s="28">
        <v>0</v>
      </c>
      <c r="AP74" s="28">
        <v>0</v>
      </c>
      <c r="AQ74">
        <v>0</v>
      </c>
      <c r="AR74">
        <v>0</v>
      </c>
      <c r="AS74">
        <v>0</v>
      </c>
      <c r="AT74">
        <v>0</v>
      </c>
    </row>
    <row r="75" spans="1:46" ht="15.75" x14ac:dyDescent="0.25">
      <c r="A75" t="s">
        <v>398</v>
      </c>
      <c r="B75" t="s">
        <v>399</v>
      </c>
      <c r="C75">
        <v>0</v>
      </c>
      <c r="D75">
        <v>0</v>
      </c>
      <c r="E75">
        <v>0</v>
      </c>
      <c r="F75">
        <v>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3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>
        <v>0</v>
      </c>
      <c r="AR75">
        <v>0</v>
      </c>
      <c r="AS75">
        <v>0</v>
      </c>
      <c r="AT75">
        <v>0</v>
      </c>
    </row>
    <row r="76" spans="1:46" ht="15.75" x14ac:dyDescent="0.25">
      <c r="A76" t="s">
        <v>400</v>
      </c>
      <c r="B76" t="s">
        <v>401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3</v>
      </c>
      <c r="K76">
        <v>0</v>
      </c>
      <c r="L76">
        <v>0</v>
      </c>
      <c r="M76">
        <v>0</v>
      </c>
      <c r="N76">
        <v>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>
        <v>0</v>
      </c>
      <c r="AR76">
        <v>0</v>
      </c>
      <c r="AS76">
        <v>0</v>
      </c>
      <c r="AT76">
        <v>0</v>
      </c>
    </row>
    <row r="77" spans="1:46" ht="15.75" x14ac:dyDescent="0.25">
      <c r="A77" t="s">
        <v>402</v>
      </c>
      <c r="B77" t="s">
        <v>403</v>
      </c>
      <c r="C77">
        <v>0</v>
      </c>
      <c r="D77">
        <v>0</v>
      </c>
      <c r="E77">
        <v>0</v>
      </c>
      <c r="F77">
        <v>3</v>
      </c>
      <c r="G77">
        <v>0</v>
      </c>
      <c r="H77">
        <v>0</v>
      </c>
      <c r="I77">
        <v>0</v>
      </c>
      <c r="J77">
        <v>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4</v>
      </c>
      <c r="S77">
        <v>0</v>
      </c>
      <c r="T77">
        <v>-1</v>
      </c>
      <c r="U77">
        <v>0</v>
      </c>
      <c r="V77">
        <v>2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</v>
      </c>
      <c r="AE77">
        <v>0</v>
      </c>
      <c r="AF77">
        <v>0</v>
      </c>
      <c r="AG77">
        <v>0</v>
      </c>
      <c r="AH77">
        <v>0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0</v>
      </c>
      <c r="AP77" s="28">
        <v>0</v>
      </c>
      <c r="AQ77">
        <v>0</v>
      </c>
      <c r="AR77">
        <v>0</v>
      </c>
      <c r="AS77">
        <v>0</v>
      </c>
      <c r="AT77">
        <v>0</v>
      </c>
    </row>
    <row r="78" spans="1:46" ht="15.75" x14ac:dyDescent="0.25">
      <c r="A78" t="s">
        <v>404</v>
      </c>
      <c r="B78" t="s">
        <v>405</v>
      </c>
      <c r="C78">
        <v>0</v>
      </c>
      <c r="D78">
        <v>-1</v>
      </c>
      <c r="E78">
        <v>0</v>
      </c>
      <c r="F78">
        <v>2</v>
      </c>
      <c r="G78">
        <v>0</v>
      </c>
      <c r="H78">
        <v>0</v>
      </c>
      <c r="I78">
        <v>0</v>
      </c>
      <c r="J78">
        <v>4</v>
      </c>
      <c r="K78">
        <v>0</v>
      </c>
      <c r="L78">
        <v>0</v>
      </c>
      <c r="M78">
        <v>0</v>
      </c>
      <c r="N78">
        <v>2</v>
      </c>
      <c r="O78">
        <v>0</v>
      </c>
      <c r="P78">
        <v>0</v>
      </c>
      <c r="Q78">
        <v>-1</v>
      </c>
      <c r="R78">
        <v>3</v>
      </c>
      <c r="S78">
        <v>0</v>
      </c>
      <c r="T78">
        <v>0</v>
      </c>
      <c r="U78">
        <v>0</v>
      </c>
      <c r="V78">
        <v>2</v>
      </c>
      <c r="W78">
        <v>0</v>
      </c>
      <c r="X78">
        <v>0</v>
      </c>
      <c r="Y78">
        <v>0</v>
      </c>
      <c r="Z78">
        <v>6</v>
      </c>
      <c r="AA78">
        <v>2</v>
      </c>
      <c r="AB78">
        <v>0</v>
      </c>
      <c r="AC78">
        <v>0</v>
      </c>
      <c r="AD78">
        <v>3</v>
      </c>
      <c r="AE78">
        <v>0</v>
      </c>
      <c r="AF78">
        <v>0</v>
      </c>
      <c r="AG78">
        <v>0</v>
      </c>
      <c r="AH78">
        <v>0</v>
      </c>
      <c r="AI78" s="28">
        <v>0</v>
      </c>
      <c r="AJ78" s="28">
        <v>0</v>
      </c>
      <c r="AK78" s="28">
        <v>0</v>
      </c>
      <c r="AL78" s="28">
        <v>0</v>
      </c>
      <c r="AM78" s="28">
        <v>0</v>
      </c>
      <c r="AN78" s="28">
        <v>0</v>
      </c>
      <c r="AO78" s="28">
        <v>0</v>
      </c>
      <c r="AP78" s="28">
        <v>0</v>
      </c>
      <c r="AQ78">
        <v>0</v>
      </c>
      <c r="AR78">
        <v>-1</v>
      </c>
      <c r="AS78">
        <v>-4</v>
      </c>
      <c r="AT78">
        <v>0</v>
      </c>
    </row>
    <row r="79" spans="1:46" ht="15.75" x14ac:dyDescent="0.25">
      <c r="A79" t="s">
        <v>406</v>
      </c>
      <c r="B79" t="s">
        <v>407</v>
      </c>
      <c r="C79">
        <v>0</v>
      </c>
      <c r="D79">
        <v>-2</v>
      </c>
      <c r="E79">
        <v>0</v>
      </c>
      <c r="F79">
        <v>4</v>
      </c>
      <c r="G79">
        <v>0</v>
      </c>
      <c r="H79">
        <v>-4</v>
      </c>
      <c r="I79">
        <v>3</v>
      </c>
      <c r="J79">
        <v>3</v>
      </c>
      <c r="K79">
        <v>0</v>
      </c>
      <c r="L79">
        <v>0</v>
      </c>
      <c r="M79">
        <v>0</v>
      </c>
      <c r="N79">
        <v>3</v>
      </c>
      <c r="O79">
        <v>0</v>
      </c>
      <c r="P79">
        <v>-1</v>
      </c>
      <c r="Q79">
        <v>0</v>
      </c>
      <c r="R79">
        <v>2</v>
      </c>
      <c r="S79">
        <v>0</v>
      </c>
      <c r="T79">
        <v>0</v>
      </c>
      <c r="U79">
        <v>0</v>
      </c>
      <c r="V79">
        <v>2</v>
      </c>
      <c r="W79">
        <v>0</v>
      </c>
      <c r="X79">
        <v>0</v>
      </c>
      <c r="Y79">
        <v>-1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s="28">
        <v>0</v>
      </c>
      <c r="AJ79" s="28">
        <v>0</v>
      </c>
      <c r="AK79" s="28">
        <v>0</v>
      </c>
      <c r="AL79" s="28">
        <v>0</v>
      </c>
      <c r="AM79" s="28">
        <v>0</v>
      </c>
      <c r="AN79" s="28">
        <v>0</v>
      </c>
      <c r="AO79" s="28">
        <v>-2</v>
      </c>
      <c r="AP79" s="28">
        <v>0</v>
      </c>
      <c r="AQ79">
        <v>0</v>
      </c>
      <c r="AR79">
        <v>-1</v>
      </c>
      <c r="AS79">
        <v>0</v>
      </c>
      <c r="AT79">
        <v>0</v>
      </c>
    </row>
    <row r="80" spans="1:46" ht="15.75" x14ac:dyDescent="0.25">
      <c r="A80" t="s">
        <v>408</v>
      </c>
      <c r="B80" t="s">
        <v>409</v>
      </c>
      <c r="C80">
        <v>0</v>
      </c>
      <c r="D80">
        <v>0</v>
      </c>
      <c r="E80">
        <v>0</v>
      </c>
      <c r="F80">
        <v>4</v>
      </c>
      <c r="G80">
        <v>0</v>
      </c>
      <c r="H80">
        <v>0</v>
      </c>
      <c r="I80">
        <v>2</v>
      </c>
      <c r="J80">
        <v>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</v>
      </c>
      <c r="S80">
        <v>0</v>
      </c>
      <c r="T80">
        <v>0</v>
      </c>
      <c r="U80">
        <v>0</v>
      </c>
      <c r="V80">
        <v>2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-2</v>
      </c>
      <c r="AD80">
        <v>3</v>
      </c>
      <c r="AE80">
        <v>0</v>
      </c>
      <c r="AF80">
        <v>0</v>
      </c>
      <c r="AG80">
        <v>0</v>
      </c>
      <c r="AH80">
        <v>0</v>
      </c>
      <c r="AI80" s="28">
        <v>0</v>
      </c>
      <c r="AJ80" s="28">
        <v>0</v>
      </c>
      <c r="AK80" s="28">
        <v>0</v>
      </c>
      <c r="AL80" s="28">
        <v>0</v>
      </c>
      <c r="AM80" s="28">
        <v>0</v>
      </c>
      <c r="AN80" s="28">
        <v>0</v>
      </c>
      <c r="AO80" s="28">
        <v>0</v>
      </c>
      <c r="AP80" s="28">
        <v>0</v>
      </c>
      <c r="AQ80">
        <v>0</v>
      </c>
      <c r="AR80">
        <v>0</v>
      </c>
      <c r="AS80">
        <v>0</v>
      </c>
      <c r="AT80">
        <v>0</v>
      </c>
    </row>
    <row r="81" spans="1:46" ht="15.75" x14ac:dyDescent="0.25">
      <c r="A81" t="s">
        <v>410</v>
      </c>
      <c r="B81" t="s">
        <v>411</v>
      </c>
      <c r="C81">
        <v>0</v>
      </c>
      <c r="D81">
        <v>0</v>
      </c>
      <c r="E81">
        <v>0</v>
      </c>
      <c r="F81">
        <v>2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2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s="28">
        <v>0</v>
      </c>
      <c r="AJ81" s="28">
        <v>0</v>
      </c>
      <c r="AK81" s="28">
        <v>0</v>
      </c>
      <c r="AL81" s="28">
        <v>0</v>
      </c>
      <c r="AM81" s="28">
        <v>0</v>
      </c>
      <c r="AN81" s="28">
        <v>0</v>
      </c>
      <c r="AO81" s="28">
        <v>0</v>
      </c>
      <c r="AP81" s="28">
        <v>0</v>
      </c>
      <c r="AQ81">
        <v>0</v>
      </c>
      <c r="AR81">
        <v>0</v>
      </c>
      <c r="AS81">
        <v>0</v>
      </c>
      <c r="AT81">
        <v>0</v>
      </c>
    </row>
    <row r="82" spans="1:46" ht="15.75" x14ac:dyDescent="0.25">
      <c r="A82" t="s">
        <v>412</v>
      </c>
      <c r="B82" t="s">
        <v>413</v>
      </c>
      <c r="C82">
        <v>0</v>
      </c>
      <c r="D82">
        <v>0</v>
      </c>
      <c r="E82">
        <v>0</v>
      </c>
      <c r="F82">
        <v>10</v>
      </c>
      <c r="G82">
        <v>0</v>
      </c>
      <c r="H82">
        <v>0</v>
      </c>
      <c r="I82">
        <v>0</v>
      </c>
      <c r="J82">
        <v>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>
        <v>0</v>
      </c>
      <c r="AR82">
        <v>0</v>
      </c>
      <c r="AS82">
        <v>0</v>
      </c>
      <c r="AT82">
        <v>0</v>
      </c>
    </row>
    <row r="83" spans="1:46" ht="15.75" x14ac:dyDescent="0.25">
      <c r="A83" t="s">
        <v>414</v>
      </c>
      <c r="B83" t="s">
        <v>415</v>
      </c>
      <c r="C83">
        <v>0</v>
      </c>
      <c r="D83">
        <v>0</v>
      </c>
      <c r="E83">
        <v>2</v>
      </c>
      <c r="F83">
        <v>2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6</v>
      </c>
      <c r="O83">
        <v>0</v>
      </c>
      <c r="P83">
        <v>0</v>
      </c>
      <c r="Q83">
        <v>0</v>
      </c>
      <c r="R83">
        <v>4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</v>
      </c>
      <c r="AE83">
        <v>0</v>
      </c>
      <c r="AF83">
        <v>0</v>
      </c>
      <c r="AG83">
        <v>0</v>
      </c>
      <c r="AH83">
        <v>0</v>
      </c>
      <c r="AI83" s="28">
        <v>0</v>
      </c>
      <c r="AJ83" s="28">
        <v>0</v>
      </c>
      <c r="AK83" s="28">
        <v>0</v>
      </c>
      <c r="AL83" s="28">
        <v>0</v>
      </c>
      <c r="AM83" s="28">
        <v>0</v>
      </c>
      <c r="AN83" s="28">
        <v>0</v>
      </c>
      <c r="AO83" s="28">
        <v>0</v>
      </c>
      <c r="AP83" s="28">
        <v>0</v>
      </c>
      <c r="AQ83">
        <v>0</v>
      </c>
      <c r="AR83">
        <v>0</v>
      </c>
      <c r="AS83">
        <v>-2</v>
      </c>
      <c r="AT83">
        <v>0</v>
      </c>
    </row>
    <row r="84" spans="1:46" ht="15.75" x14ac:dyDescent="0.25">
      <c r="A84" t="s">
        <v>416</v>
      </c>
      <c r="B84" t="s">
        <v>417</v>
      </c>
      <c r="C84">
        <v>0</v>
      </c>
      <c r="D84">
        <v>0</v>
      </c>
      <c r="E84">
        <v>0</v>
      </c>
      <c r="F84">
        <v>2</v>
      </c>
      <c r="G84">
        <v>0</v>
      </c>
      <c r="H84">
        <v>0</v>
      </c>
      <c r="I84">
        <v>0</v>
      </c>
      <c r="J84">
        <v>5</v>
      </c>
      <c r="K84">
        <v>0</v>
      </c>
      <c r="L84">
        <v>0</v>
      </c>
      <c r="M84">
        <v>0</v>
      </c>
      <c r="N84">
        <v>2</v>
      </c>
      <c r="O84">
        <v>0</v>
      </c>
      <c r="P84">
        <v>0</v>
      </c>
      <c r="Q84">
        <v>0</v>
      </c>
      <c r="R84">
        <v>0</v>
      </c>
      <c r="S84">
        <v>0</v>
      </c>
      <c r="T84">
        <v>-1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 s="28">
        <v>0</v>
      </c>
      <c r="AJ84" s="28">
        <v>0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>
        <v>0</v>
      </c>
      <c r="AR84">
        <v>0</v>
      </c>
      <c r="AS84">
        <v>0</v>
      </c>
      <c r="AT84">
        <v>0</v>
      </c>
    </row>
    <row r="85" spans="1:46" ht="15.75" x14ac:dyDescent="0.25">
      <c r="A85" t="s">
        <v>418</v>
      </c>
      <c r="B85" t="s">
        <v>419</v>
      </c>
      <c r="C85">
        <v>0</v>
      </c>
      <c r="D85">
        <v>0</v>
      </c>
      <c r="E85">
        <v>0</v>
      </c>
      <c r="F85">
        <v>5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3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s="28">
        <v>0</v>
      </c>
      <c r="AJ85" s="28">
        <v>0</v>
      </c>
      <c r="AK85" s="28">
        <v>0</v>
      </c>
      <c r="AL85" s="28">
        <v>0</v>
      </c>
      <c r="AM85" s="28">
        <v>0</v>
      </c>
      <c r="AN85" s="28">
        <v>0</v>
      </c>
      <c r="AO85" s="28">
        <v>0</v>
      </c>
      <c r="AP85" s="28">
        <v>0</v>
      </c>
      <c r="AQ85">
        <v>0</v>
      </c>
      <c r="AR85">
        <v>0</v>
      </c>
      <c r="AS85">
        <v>0</v>
      </c>
      <c r="AT85">
        <v>0</v>
      </c>
    </row>
    <row r="86" spans="1:46" ht="15.75" x14ac:dyDescent="0.25">
      <c r="A86" t="s">
        <v>420</v>
      </c>
      <c r="B86" t="s">
        <v>421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s="28">
        <v>0</v>
      </c>
      <c r="AJ86" s="28">
        <v>0</v>
      </c>
      <c r="AK86" s="28">
        <v>0</v>
      </c>
      <c r="AL86" s="28">
        <v>0</v>
      </c>
      <c r="AM86" s="28">
        <v>0</v>
      </c>
      <c r="AN86" s="28">
        <v>0</v>
      </c>
      <c r="AO86" s="28">
        <v>0</v>
      </c>
      <c r="AP86" s="28">
        <v>0</v>
      </c>
      <c r="AQ86">
        <v>0</v>
      </c>
      <c r="AR86">
        <v>0</v>
      </c>
      <c r="AS86">
        <v>0</v>
      </c>
      <c r="AT86">
        <v>0</v>
      </c>
    </row>
    <row r="87" spans="1:46" ht="15.75" x14ac:dyDescent="0.25">
      <c r="A87" t="s">
        <v>422</v>
      </c>
      <c r="B87" t="s">
        <v>423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s="28">
        <v>0</v>
      </c>
      <c r="AJ87" s="28">
        <v>0</v>
      </c>
      <c r="AK87" s="28">
        <v>0</v>
      </c>
      <c r="AL87" s="28">
        <v>0</v>
      </c>
      <c r="AM87" s="28">
        <v>0</v>
      </c>
      <c r="AN87" s="28">
        <v>0</v>
      </c>
      <c r="AO87" s="28">
        <v>0</v>
      </c>
      <c r="AP87" s="28">
        <v>0</v>
      </c>
      <c r="AQ87">
        <v>0</v>
      </c>
      <c r="AR87">
        <v>0</v>
      </c>
      <c r="AS87">
        <v>0</v>
      </c>
      <c r="AT87">
        <v>0</v>
      </c>
    </row>
    <row r="88" spans="1:46" ht="15.75" x14ac:dyDescent="0.25">
      <c r="A88" t="s">
        <v>424</v>
      </c>
      <c r="B88" t="s">
        <v>425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>
        <v>0</v>
      </c>
      <c r="AR88">
        <v>0</v>
      </c>
      <c r="AS88">
        <v>0</v>
      </c>
      <c r="AT88">
        <v>0</v>
      </c>
    </row>
    <row r="89" spans="1:46" ht="15.75" x14ac:dyDescent="0.25">
      <c r="A89" t="s">
        <v>426</v>
      </c>
      <c r="B89" t="s">
        <v>427</v>
      </c>
      <c r="C89">
        <v>0</v>
      </c>
      <c r="D89">
        <v>0</v>
      </c>
      <c r="E89">
        <v>0</v>
      </c>
      <c r="F89">
        <v>3</v>
      </c>
      <c r="G89">
        <v>4</v>
      </c>
      <c r="H89">
        <v>0</v>
      </c>
      <c r="I89">
        <v>0</v>
      </c>
      <c r="J89">
        <v>4</v>
      </c>
      <c r="K89">
        <v>0</v>
      </c>
      <c r="L89">
        <v>0</v>
      </c>
      <c r="M89">
        <v>0</v>
      </c>
      <c r="N89">
        <v>3</v>
      </c>
      <c r="O89">
        <v>0</v>
      </c>
      <c r="P89">
        <v>0</v>
      </c>
      <c r="Q89">
        <v>-1</v>
      </c>
      <c r="R89">
        <v>6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7</v>
      </c>
      <c r="AA89">
        <v>0</v>
      </c>
      <c r="AB89">
        <v>0</v>
      </c>
      <c r="AC89">
        <v>0</v>
      </c>
      <c r="AD89">
        <v>4</v>
      </c>
      <c r="AE89">
        <v>0</v>
      </c>
      <c r="AF89">
        <v>0</v>
      </c>
      <c r="AG89">
        <v>0</v>
      </c>
      <c r="AH89">
        <v>0</v>
      </c>
      <c r="AI89" s="28">
        <v>0</v>
      </c>
      <c r="AJ89" s="28">
        <v>0</v>
      </c>
      <c r="AK89" s="28">
        <v>0</v>
      </c>
      <c r="AL89" s="28">
        <v>0</v>
      </c>
      <c r="AM89" s="28">
        <v>0</v>
      </c>
      <c r="AN89" s="28">
        <v>0</v>
      </c>
      <c r="AO89" s="28">
        <v>0</v>
      </c>
      <c r="AP89" s="28">
        <v>0</v>
      </c>
      <c r="AQ89">
        <v>0</v>
      </c>
      <c r="AR89">
        <v>-1</v>
      </c>
      <c r="AS89">
        <v>0</v>
      </c>
      <c r="AT89">
        <v>0</v>
      </c>
    </row>
    <row r="90" spans="1:46" ht="15.75" x14ac:dyDescent="0.25">
      <c r="A90" t="s">
        <v>428</v>
      </c>
      <c r="B90" t="s">
        <v>429</v>
      </c>
      <c r="C90">
        <v>0</v>
      </c>
      <c r="D90">
        <v>-1</v>
      </c>
      <c r="E90">
        <v>0</v>
      </c>
      <c r="F90">
        <v>3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5</v>
      </c>
      <c r="S90">
        <v>0</v>
      </c>
      <c r="T90">
        <v>0</v>
      </c>
      <c r="U90">
        <v>0</v>
      </c>
      <c r="V90">
        <v>0</v>
      </c>
      <c r="W90">
        <v>3</v>
      </c>
      <c r="X90">
        <v>-1</v>
      </c>
      <c r="Y90">
        <v>0</v>
      </c>
      <c r="Z90">
        <v>5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 s="28">
        <v>0</v>
      </c>
      <c r="AJ90" s="28">
        <v>0</v>
      </c>
      <c r="AK90" s="28">
        <v>0</v>
      </c>
      <c r="AL90" s="28">
        <v>0</v>
      </c>
      <c r="AM90" s="28">
        <v>0</v>
      </c>
      <c r="AN90" s="28">
        <v>0</v>
      </c>
      <c r="AO90" s="28">
        <v>0</v>
      </c>
      <c r="AP90" s="28">
        <v>0</v>
      </c>
      <c r="AQ90">
        <v>0</v>
      </c>
      <c r="AR90">
        <v>0</v>
      </c>
      <c r="AS90">
        <v>0</v>
      </c>
      <c r="AT90">
        <v>0</v>
      </c>
    </row>
    <row r="91" spans="1:46" ht="15.75" x14ac:dyDescent="0.25">
      <c r="A91" t="s">
        <v>430</v>
      </c>
      <c r="B91" t="s">
        <v>431</v>
      </c>
      <c r="C91">
        <v>0</v>
      </c>
      <c r="D91">
        <v>-2</v>
      </c>
      <c r="E91">
        <v>0</v>
      </c>
      <c r="F91">
        <v>6</v>
      </c>
      <c r="G91">
        <v>0</v>
      </c>
      <c r="H91">
        <v>-3</v>
      </c>
      <c r="I91">
        <v>0</v>
      </c>
      <c r="J91">
        <v>2</v>
      </c>
      <c r="K91">
        <v>0</v>
      </c>
      <c r="L91">
        <v>0</v>
      </c>
      <c r="M91">
        <v>0</v>
      </c>
      <c r="N91">
        <v>4</v>
      </c>
      <c r="O91">
        <v>0</v>
      </c>
      <c r="P91">
        <v>0</v>
      </c>
      <c r="Q91">
        <v>0</v>
      </c>
      <c r="R91">
        <v>3</v>
      </c>
      <c r="S91">
        <v>0</v>
      </c>
      <c r="T91">
        <v>-1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-1</v>
      </c>
      <c r="AC91">
        <v>0</v>
      </c>
      <c r="AD91">
        <v>6</v>
      </c>
      <c r="AE91">
        <v>0</v>
      </c>
      <c r="AF91">
        <v>0</v>
      </c>
      <c r="AG91">
        <v>0</v>
      </c>
      <c r="AH91">
        <v>0</v>
      </c>
      <c r="AI91" s="28">
        <v>0</v>
      </c>
      <c r="AJ91" s="28">
        <v>0</v>
      </c>
      <c r="AK91" s="28">
        <v>0</v>
      </c>
      <c r="AL91" s="28">
        <v>0</v>
      </c>
      <c r="AM91" s="28">
        <v>0</v>
      </c>
      <c r="AN91" s="28">
        <v>0</v>
      </c>
      <c r="AO91" s="28">
        <v>0</v>
      </c>
      <c r="AP91" s="28">
        <v>0</v>
      </c>
      <c r="AQ91">
        <v>0</v>
      </c>
      <c r="AR91">
        <v>-1</v>
      </c>
      <c r="AS91">
        <v>0</v>
      </c>
      <c r="AT91">
        <v>0</v>
      </c>
    </row>
    <row r="92" spans="1:46" ht="15.75" x14ac:dyDescent="0.25">
      <c r="A92" t="s">
        <v>432</v>
      </c>
      <c r="B92" t="s">
        <v>433</v>
      </c>
      <c r="C92">
        <v>0</v>
      </c>
      <c r="D92">
        <v>0</v>
      </c>
      <c r="E92">
        <v>0</v>
      </c>
      <c r="F92">
        <v>3</v>
      </c>
      <c r="G92">
        <v>0</v>
      </c>
      <c r="H92">
        <v>0</v>
      </c>
      <c r="I92">
        <v>0</v>
      </c>
      <c r="J92">
        <v>0</v>
      </c>
      <c r="K92">
        <v>0</v>
      </c>
      <c r="L92">
        <v>-1</v>
      </c>
      <c r="M92">
        <v>0</v>
      </c>
      <c r="N92">
        <v>4</v>
      </c>
      <c r="O92">
        <v>0</v>
      </c>
      <c r="P92">
        <v>0</v>
      </c>
      <c r="Q92">
        <v>0</v>
      </c>
      <c r="R92">
        <v>3</v>
      </c>
      <c r="S92">
        <v>0</v>
      </c>
      <c r="T92">
        <v>-1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</v>
      </c>
      <c r="AE92">
        <v>0</v>
      </c>
      <c r="AF92">
        <v>0</v>
      </c>
      <c r="AG92">
        <v>0</v>
      </c>
      <c r="AH92">
        <v>0</v>
      </c>
      <c r="AI92" s="28">
        <v>0</v>
      </c>
      <c r="AJ92" s="28">
        <v>0</v>
      </c>
      <c r="AK92" s="28">
        <v>0</v>
      </c>
      <c r="AL92" s="28">
        <v>0</v>
      </c>
      <c r="AM92" s="28">
        <v>0</v>
      </c>
      <c r="AN92" s="28">
        <v>0</v>
      </c>
      <c r="AO92" s="28">
        <v>0</v>
      </c>
      <c r="AP92" s="28">
        <v>0</v>
      </c>
      <c r="AQ92">
        <v>0</v>
      </c>
      <c r="AR92">
        <v>0</v>
      </c>
      <c r="AS92">
        <v>0</v>
      </c>
      <c r="AT92">
        <v>0</v>
      </c>
    </row>
    <row r="93" spans="1:46" ht="15.75" x14ac:dyDescent="0.25">
      <c r="A93" t="s">
        <v>434</v>
      </c>
      <c r="B93" t="s">
        <v>435</v>
      </c>
      <c r="C93">
        <v>0</v>
      </c>
      <c r="D93">
        <v>0</v>
      </c>
      <c r="E93">
        <v>0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0</v>
      </c>
      <c r="P93">
        <v>-1</v>
      </c>
      <c r="Q93">
        <v>0</v>
      </c>
      <c r="R93">
        <v>3</v>
      </c>
      <c r="S93">
        <v>0</v>
      </c>
      <c r="T93">
        <v>0</v>
      </c>
      <c r="U93">
        <v>0</v>
      </c>
      <c r="V93">
        <v>0</v>
      </c>
      <c r="W93">
        <v>0</v>
      </c>
      <c r="X93">
        <v>-1</v>
      </c>
      <c r="Y93">
        <v>0</v>
      </c>
      <c r="Z93">
        <v>1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28">
        <v>0</v>
      </c>
      <c r="AQ93">
        <v>0</v>
      </c>
      <c r="AR93">
        <v>0</v>
      </c>
      <c r="AS93">
        <v>0</v>
      </c>
      <c r="AT93">
        <v>0</v>
      </c>
    </row>
    <row r="94" spans="1:46" ht="15.75" x14ac:dyDescent="0.25">
      <c r="A94" t="s">
        <v>436</v>
      </c>
      <c r="B94" t="s">
        <v>437</v>
      </c>
      <c r="C94">
        <v>0</v>
      </c>
      <c r="D94">
        <v>0</v>
      </c>
      <c r="E94">
        <v>0</v>
      </c>
      <c r="F94">
        <v>4</v>
      </c>
      <c r="G94">
        <v>0</v>
      </c>
      <c r="H94">
        <v>0</v>
      </c>
      <c r="I94">
        <v>0</v>
      </c>
      <c r="J94">
        <v>2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0</v>
      </c>
      <c r="AQ94">
        <v>0</v>
      </c>
      <c r="AR94">
        <v>0</v>
      </c>
      <c r="AS94">
        <v>0</v>
      </c>
      <c r="AT94">
        <v>0</v>
      </c>
    </row>
    <row r="95" spans="1:46" ht="15.75" x14ac:dyDescent="0.25">
      <c r="A95" t="s">
        <v>438</v>
      </c>
      <c r="B95" t="s">
        <v>439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</v>
      </c>
      <c r="J95">
        <v>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-2</v>
      </c>
      <c r="AD95">
        <v>0</v>
      </c>
      <c r="AE95">
        <v>0</v>
      </c>
      <c r="AF95">
        <v>0</v>
      </c>
      <c r="AG95">
        <v>0</v>
      </c>
      <c r="AH95">
        <v>0</v>
      </c>
      <c r="AI95" s="28">
        <v>0</v>
      </c>
      <c r="AJ95" s="28">
        <v>0</v>
      </c>
      <c r="AK95" s="28">
        <v>0</v>
      </c>
      <c r="AL95" s="28">
        <v>0</v>
      </c>
      <c r="AM95" s="28">
        <v>0</v>
      </c>
      <c r="AN95" s="28">
        <v>0</v>
      </c>
      <c r="AO95" s="28">
        <v>0</v>
      </c>
      <c r="AP95" s="28">
        <v>0</v>
      </c>
      <c r="AQ95">
        <v>0</v>
      </c>
      <c r="AR95">
        <v>0</v>
      </c>
      <c r="AS95">
        <v>0</v>
      </c>
      <c r="AT95">
        <v>0</v>
      </c>
    </row>
    <row r="96" spans="1:46" ht="15.75" x14ac:dyDescent="0.25">
      <c r="A96" t="s">
        <v>440</v>
      </c>
      <c r="B96" t="s">
        <v>441</v>
      </c>
      <c r="C96">
        <v>0</v>
      </c>
      <c r="D96">
        <v>0</v>
      </c>
      <c r="E96">
        <v>0</v>
      </c>
      <c r="F96">
        <v>3</v>
      </c>
      <c r="G96">
        <v>0</v>
      </c>
      <c r="H96">
        <v>0</v>
      </c>
      <c r="I96">
        <v>1</v>
      </c>
      <c r="J96">
        <v>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-1</v>
      </c>
      <c r="AD96">
        <v>0</v>
      </c>
      <c r="AE96">
        <v>0</v>
      </c>
      <c r="AF96">
        <v>0</v>
      </c>
      <c r="AG96">
        <v>0</v>
      </c>
      <c r="AH96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>
        <v>0</v>
      </c>
      <c r="AR96">
        <v>0</v>
      </c>
      <c r="AS96">
        <v>0</v>
      </c>
      <c r="AT96">
        <v>0</v>
      </c>
    </row>
    <row r="97" spans="1:46" ht="15.75" x14ac:dyDescent="0.25">
      <c r="A97" t="s">
        <v>442</v>
      </c>
      <c r="B97" t="s">
        <v>443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5</v>
      </c>
      <c r="O97">
        <v>0</v>
      </c>
      <c r="P97">
        <v>0</v>
      </c>
      <c r="Q97">
        <v>0</v>
      </c>
      <c r="R97">
        <v>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-1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-1</v>
      </c>
      <c r="AI97" s="28">
        <v>0</v>
      </c>
      <c r="AJ97" s="28">
        <v>0</v>
      </c>
      <c r="AK97" s="28">
        <v>0</v>
      </c>
      <c r="AL97" s="28">
        <v>0</v>
      </c>
      <c r="AM97" s="28">
        <v>0</v>
      </c>
      <c r="AN97" s="28">
        <v>0</v>
      </c>
      <c r="AO97" s="28">
        <v>0</v>
      </c>
      <c r="AP97" s="28">
        <v>0</v>
      </c>
      <c r="AQ97">
        <v>0</v>
      </c>
      <c r="AR97">
        <v>0</v>
      </c>
      <c r="AS97">
        <v>0</v>
      </c>
      <c r="AT97">
        <v>0</v>
      </c>
    </row>
    <row r="98" spans="1:46" ht="15.75" x14ac:dyDescent="0.25">
      <c r="A98" t="s">
        <v>444</v>
      </c>
      <c r="B98" t="s">
        <v>445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2</v>
      </c>
      <c r="K98">
        <v>0</v>
      </c>
      <c r="L98">
        <v>0</v>
      </c>
      <c r="M98">
        <v>0</v>
      </c>
      <c r="N98">
        <v>4</v>
      </c>
      <c r="O98">
        <v>0</v>
      </c>
      <c r="P98">
        <v>0</v>
      </c>
      <c r="Q98">
        <v>0</v>
      </c>
      <c r="R98">
        <v>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-1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>
        <v>0</v>
      </c>
      <c r="AR98">
        <v>0</v>
      </c>
      <c r="AS98">
        <v>0</v>
      </c>
      <c r="AT98">
        <v>0</v>
      </c>
    </row>
    <row r="99" spans="1:46" ht="15.75" x14ac:dyDescent="0.25">
      <c r="A99" t="s">
        <v>446</v>
      </c>
      <c r="B99" t="s">
        <v>447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</v>
      </c>
      <c r="O99">
        <v>0</v>
      </c>
      <c r="P99">
        <v>0</v>
      </c>
      <c r="Q99">
        <v>0</v>
      </c>
      <c r="R99">
        <v>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>
        <v>0</v>
      </c>
      <c r="AR99">
        <v>0</v>
      </c>
      <c r="AS99">
        <v>0</v>
      </c>
      <c r="AT99">
        <v>0</v>
      </c>
    </row>
    <row r="100" spans="1:46" ht="15.75" x14ac:dyDescent="0.25">
      <c r="A100" t="s">
        <v>448</v>
      </c>
      <c r="B100" t="s">
        <v>449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3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-1</v>
      </c>
      <c r="Q100">
        <v>0</v>
      </c>
      <c r="R100">
        <v>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-2</v>
      </c>
      <c r="AD100">
        <v>0</v>
      </c>
      <c r="AE100">
        <v>0</v>
      </c>
      <c r="AF100">
        <v>0</v>
      </c>
      <c r="AG100">
        <v>0</v>
      </c>
      <c r="AH100">
        <v>0</v>
      </c>
      <c r="AI100" s="28">
        <v>0</v>
      </c>
      <c r="AJ100" s="28">
        <v>0</v>
      </c>
      <c r="AK100" s="28">
        <v>0</v>
      </c>
      <c r="AL100" s="28">
        <v>0</v>
      </c>
      <c r="AM100" s="28">
        <v>0</v>
      </c>
      <c r="AN100" s="28">
        <v>0</v>
      </c>
      <c r="AO100" s="28">
        <v>0</v>
      </c>
      <c r="AP100" s="28">
        <v>0</v>
      </c>
      <c r="AQ100">
        <v>0</v>
      </c>
      <c r="AR100">
        <v>0</v>
      </c>
      <c r="AS100">
        <v>0</v>
      </c>
      <c r="AT100">
        <v>0</v>
      </c>
    </row>
    <row r="101" spans="1:46" ht="15.75" x14ac:dyDescent="0.25">
      <c r="A101" t="s">
        <v>450</v>
      </c>
      <c r="B101" t="s">
        <v>451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>
        <v>0</v>
      </c>
      <c r="AR101">
        <v>0</v>
      </c>
      <c r="AS101">
        <v>0</v>
      </c>
      <c r="AT101">
        <v>0</v>
      </c>
    </row>
    <row r="102" spans="1:46" ht="15.75" x14ac:dyDescent="0.25">
      <c r="A102" t="s">
        <v>452</v>
      </c>
      <c r="B102" t="s">
        <v>453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>
        <v>0</v>
      </c>
      <c r="AR102">
        <v>0</v>
      </c>
      <c r="AS102">
        <v>0</v>
      </c>
      <c r="AT102">
        <v>0</v>
      </c>
    </row>
    <row r="103" spans="1:46" ht="15.75" x14ac:dyDescent="0.25">
      <c r="A103" t="s">
        <v>454</v>
      </c>
      <c r="B103" t="s">
        <v>455</v>
      </c>
      <c r="C103">
        <v>0</v>
      </c>
      <c r="D103">
        <v>0</v>
      </c>
      <c r="E103">
        <v>0</v>
      </c>
      <c r="F103">
        <v>3</v>
      </c>
      <c r="G103">
        <v>0</v>
      </c>
      <c r="H103">
        <v>0</v>
      </c>
      <c r="I103">
        <v>0</v>
      </c>
      <c r="J103">
        <v>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0</v>
      </c>
      <c r="AQ103">
        <v>0</v>
      </c>
      <c r="AR103">
        <v>0</v>
      </c>
      <c r="AS103">
        <v>0</v>
      </c>
      <c r="AT103">
        <v>0</v>
      </c>
    </row>
    <row r="104" spans="1:46" ht="15.75" x14ac:dyDescent="0.25">
      <c r="A104" t="s">
        <v>456</v>
      </c>
      <c r="B104" t="s">
        <v>457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</v>
      </c>
      <c r="AE104">
        <v>0</v>
      </c>
      <c r="AF104">
        <v>0</v>
      </c>
      <c r="AG104">
        <v>0</v>
      </c>
      <c r="AH104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>
        <v>0</v>
      </c>
      <c r="AR104">
        <v>0</v>
      </c>
      <c r="AS104">
        <v>0</v>
      </c>
      <c r="AT104">
        <v>0</v>
      </c>
    </row>
    <row r="105" spans="1:46" ht="15.75" x14ac:dyDescent="0.25">
      <c r="A105" t="s">
        <v>458</v>
      </c>
      <c r="B105" t="s">
        <v>459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-1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>
        <v>0</v>
      </c>
      <c r="AR105">
        <v>0</v>
      </c>
      <c r="AS105">
        <v>0</v>
      </c>
      <c r="AT105">
        <v>0</v>
      </c>
    </row>
    <row r="106" spans="1:46" ht="15.75" x14ac:dyDescent="0.25">
      <c r="A106" t="s">
        <v>460</v>
      </c>
      <c r="B106" t="s">
        <v>461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s="28">
        <v>0</v>
      </c>
      <c r="AJ106" s="28">
        <v>0</v>
      </c>
      <c r="AK106" s="28">
        <v>0</v>
      </c>
      <c r="AL106" s="28">
        <v>0</v>
      </c>
      <c r="AM106" s="28">
        <v>0</v>
      </c>
      <c r="AN106" s="28">
        <v>0</v>
      </c>
      <c r="AO106" s="28">
        <v>0</v>
      </c>
      <c r="AP106" s="28">
        <v>0</v>
      </c>
      <c r="AQ106">
        <v>0</v>
      </c>
      <c r="AR106">
        <v>0</v>
      </c>
      <c r="AS106">
        <v>0</v>
      </c>
      <c r="AT106">
        <v>0</v>
      </c>
    </row>
    <row r="107" spans="1:46" ht="15.75" x14ac:dyDescent="0.25">
      <c r="A107" t="s">
        <v>462</v>
      </c>
      <c r="B107" t="s">
        <v>463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-1</v>
      </c>
      <c r="Q107">
        <v>0</v>
      </c>
      <c r="R107">
        <v>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>
        <v>0</v>
      </c>
      <c r="AR107">
        <v>0</v>
      </c>
      <c r="AS107">
        <v>0</v>
      </c>
      <c r="AT107">
        <v>0</v>
      </c>
    </row>
    <row r="108" spans="1:46" ht="15.75" x14ac:dyDescent="0.25">
      <c r="A108" t="s">
        <v>464</v>
      </c>
      <c r="B108" t="s">
        <v>465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>
        <v>0</v>
      </c>
      <c r="AR108">
        <v>0</v>
      </c>
      <c r="AS108">
        <v>0</v>
      </c>
      <c r="AT108">
        <v>0</v>
      </c>
    </row>
    <row r="109" spans="1:46" ht="15.75" x14ac:dyDescent="0.25">
      <c r="A109" t="s">
        <v>466</v>
      </c>
      <c r="B109" t="s">
        <v>467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s="28">
        <v>0</v>
      </c>
      <c r="AJ109" s="28">
        <v>0</v>
      </c>
      <c r="AK109" s="28">
        <v>0</v>
      </c>
      <c r="AL109" s="28">
        <v>0</v>
      </c>
      <c r="AM109" s="28">
        <v>0</v>
      </c>
      <c r="AN109" s="28">
        <v>0</v>
      </c>
      <c r="AO109" s="28">
        <v>0</v>
      </c>
      <c r="AP109" s="28">
        <v>0</v>
      </c>
      <c r="AQ109">
        <v>0</v>
      </c>
      <c r="AR109">
        <v>0</v>
      </c>
      <c r="AS109">
        <v>0</v>
      </c>
      <c r="AT109">
        <v>0</v>
      </c>
    </row>
    <row r="110" spans="1:46" ht="15.75" x14ac:dyDescent="0.25">
      <c r="A110" t="s">
        <v>468</v>
      </c>
      <c r="B110" t="s">
        <v>469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>
        <v>0</v>
      </c>
      <c r="AR110">
        <v>0</v>
      </c>
      <c r="AS110">
        <v>0</v>
      </c>
      <c r="AT110">
        <v>0</v>
      </c>
    </row>
    <row r="111" spans="1:46" ht="15.75" x14ac:dyDescent="0.25">
      <c r="A111" t="s">
        <v>470</v>
      </c>
      <c r="B111" t="s">
        <v>471</v>
      </c>
      <c r="C111">
        <v>0</v>
      </c>
      <c r="D111">
        <v>0</v>
      </c>
      <c r="E111">
        <v>0</v>
      </c>
      <c r="F111">
        <v>16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5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28">
        <v>0</v>
      </c>
      <c r="AQ111">
        <v>0</v>
      </c>
      <c r="AR111">
        <v>0</v>
      </c>
      <c r="AS111">
        <v>0</v>
      </c>
      <c r="AT111">
        <v>0</v>
      </c>
    </row>
    <row r="112" spans="1:46" ht="15.75" x14ac:dyDescent="0.25">
      <c r="A112" t="s">
        <v>472</v>
      </c>
      <c r="B112" t="s">
        <v>473</v>
      </c>
      <c r="C112">
        <v>0</v>
      </c>
      <c r="D112">
        <v>-1</v>
      </c>
      <c r="E112">
        <v>0</v>
      </c>
      <c r="F112">
        <v>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>
        <v>0</v>
      </c>
      <c r="AR112">
        <v>0</v>
      </c>
      <c r="AS112">
        <v>0</v>
      </c>
      <c r="AT112">
        <v>0</v>
      </c>
    </row>
    <row r="113" spans="1:46" ht="15.75" x14ac:dyDescent="0.25">
      <c r="A113" t="s">
        <v>474</v>
      </c>
      <c r="B113" t="s">
        <v>475</v>
      </c>
      <c r="C113">
        <v>0</v>
      </c>
      <c r="D113">
        <v>-1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2</v>
      </c>
      <c r="K113">
        <v>0</v>
      </c>
      <c r="L113">
        <v>-1</v>
      </c>
      <c r="M113">
        <v>0</v>
      </c>
      <c r="N113">
        <v>1</v>
      </c>
      <c r="O113">
        <v>0</v>
      </c>
      <c r="P113">
        <v>-1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-2</v>
      </c>
      <c r="AC113">
        <v>0</v>
      </c>
      <c r="AD113">
        <v>3</v>
      </c>
      <c r="AE113">
        <v>0</v>
      </c>
      <c r="AF113">
        <v>0</v>
      </c>
      <c r="AG113">
        <v>0</v>
      </c>
      <c r="AH113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>
        <v>0</v>
      </c>
      <c r="AR113">
        <v>0</v>
      </c>
      <c r="AS113">
        <v>0</v>
      </c>
      <c r="AT113">
        <v>0</v>
      </c>
    </row>
    <row r="114" spans="1:46" ht="15.75" x14ac:dyDescent="0.25">
      <c r="A114" t="s">
        <v>476</v>
      </c>
      <c r="B114" t="s">
        <v>477</v>
      </c>
      <c r="C114">
        <v>0</v>
      </c>
      <c r="D114">
        <v>0</v>
      </c>
      <c r="E114">
        <v>1</v>
      </c>
      <c r="F114">
        <v>2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-1</v>
      </c>
      <c r="Q114">
        <v>0</v>
      </c>
      <c r="R114">
        <v>1</v>
      </c>
      <c r="S114">
        <v>0</v>
      </c>
      <c r="T114">
        <v>0</v>
      </c>
      <c r="U114">
        <v>-1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>
        <v>0</v>
      </c>
      <c r="AR114">
        <v>0</v>
      </c>
      <c r="AS114">
        <v>0</v>
      </c>
      <c r="AT114">
        <v>0</v>
      </c>
    </row>
    <row r="115" spans="1:46" ht="15.75" x14ac:dyDescent="0.25">
      <c r="A115" t="s">
        <v>478</v>
      </c>
      <c r="B115" t="s">
        <v>479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>
        <v>0</v>
      </c>
      <c r="AR115">
        <v>0</v>
      </c>
      <c r="AS115">
        <v>0</v>
      </c>
      <c r="AT115">
        <v>0</v>
      </c>
    </row>
    <row r="116" spans="1:46" ht="15.75" x14ac:dyDescent="0.25">
      <c r="A116" t="s">
        <v>480</v>
      </c>
      <c r="B116" t="s">
        <v>481</v>
      </c>
      <c r="C116">
        <v>0</v>
      </c>
      <c r="D116">
        <v>0</v>
      </c>
      <c r="E116">
        <v>0</v>
      </c>
      <c r="F116">
        <v>3</v>
      </c>
      <c r="G116">
        <v>0</v>
      </c>
      <c r="H116">
        <v>0</v>
      </c>
      <c r="I116">
        <v>0</v>
      </c>
      <c r="J116">
        <v>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-2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-1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>
        <v>0</v>
      </c>
      <c r="AR116">
        <v>0</v>
      </c>
      <c r="AS116">
        <v>0</v>
      </c>
      <c r="AT116">
        <v>0</v>
      </c>
    </row>
    <row r="117" spans="1:46" ht="15.75" x14ac:dyDescent="0.25">
      <c r="A117" t="s">
        <v>482</v>
      </c>
      <c r="B117" t="s">
        <v>483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2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-2</v>
      </c>
      <c r="AD117">
        <v>0</v>
      </c>
      <c r="AE117">
        <v>0</v>
      </c>
      <c r="AF117">
        <v>0</v>
      </c>
      <c r="AG117">
        <v>0</v>
      </c>
      <c r="AH117">
        <v>-1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>
        <v>0</v>
      </c>
      <c r="AR117">
        <v>0</v>
      </c>
      <c r="AS117">
        <v>0</v>
      </c>
      <c r="AT117">
        <v>0</v>
      </c>
    </row>
    <row r="118" spans="1:46" ht="15.75" x14ac:dyDescent="0.25">
      <c r="A118" t="s">
        <v>484</v>
      </c>
      <c r="B118" t="s">
        <v>485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2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-2</v>
      </c>
      <c r="AD118">
        <v>0</v>
      </c>
      <c r="AE118">
        <v>0</v>
      </c>
      <c r="AF118">
        <v>0</v>
      </c>
      <c r="AG118">
        <v>0</v>
      </c>
      <c r="AH11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>
        <v>0</v>
      </c>
      <c r="AR118">
        <v>0</v>
      </c>
      <c r="AS118">
        <v>0</v>
      </c>
      <c r="AT118">
        <v>0</v>
      </c>
    </row>
    <row r="119" spans="1:46" ht="15.75" x14ac:dyDescent="0.25">
      <c r="A119" t="s">
        <v>486</v>
      </c>
      <c r="B119" t="s">
        <v>487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-1</v>
      </c>
      <c r="AD119">
        <v>0</v>
      </c>
      <c r="AE119">
        <v>0</v>
      </c>
      <c r="AF119">
        <v>0</v>
      </c>
      <c r="AG119">
        <v>0</v>
      </c>
      <c r="AH119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>
        <v>0</v>
      </c>
      <c r="AR119">
        <v>0</v>
      </c>
      <c r="AS119">
        <v>0</v>
      </c>
      <c r="AT119">
        <v>0</v>
      </c>
    </row>
    <row r="120" spans="1:46" ht="15.75" x14ac:dyDescent="0.25">
      <c r="A120" t="s">
        <v>488</v>
      </c>
      <c r="B120" t="s">
        <v>489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>
        <v>0</v>
      </c>
      <c r="AR120">
        <v>0</v>
      </c>
      <c r="AS120">
        <v>0</v>
      </c>
      <c r="AT120">
        <v>0</v>
      </c>
    </row>
    <row r="121" spans="1:46" ht="15.75" x14ac:dyDescent="0.25">
      <c r="A121" t="s">
        <v>490</v>
      </c>
      <c r="B121" t="s">
        <v>491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>
        <v>0</v>
      </c>
      <c r="AR121">
        <v>0</v>
      </c>
      <c r="AS121">
        <v>0</v>
      </c>
      <c r="AT121">
        <v>0</v>
      </c>
    </row>
    <row r="122" spans="1:46" ht="15.75" x14ac:dyDescent="0.25">
      <c r="A122" t="s">
        <v>492</v>
      </c>
      <c r="B122" t="s">
        <v>493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-1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-1</v>
      </c>
      <c r="AD122">
        <v>0</v>
      </c>
      <c r="AE122">
        <v>0</v>
      </c>
      <c r="AF122">
        <v>0</v>
      </c>
      <c r="AG122">
        <v>0</v>
      </c>
      <c r="AH122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>
        <v>0</v>
      </c>
      <c r="AR122">
        <v>0</v>
      </c>
      <c r="AS122">
        <v>0</v>
      </c>
      <c r="AT122">
        <v>0</v>
      </c>
    </row>
    <row r="123" spans="1:46" ht="15.75" x14ac:dyDescent="0.25">
      <c r="A123" t="s">
        <v>494</v>
      </c>
      <c r="B123" t="s">
        <v>495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-2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>
        <v>0</v>
      </c>
      <c r="AR123">
        <v>0</v>
      </c>
      <c r="AS123">
        <v>0</v>
      </c>
      <c r="AT123">
        <v>0</v>
      </c>
    </row>
    <row r="124" spans="1:46" ht="15.75" x14ac:dyDescent="0.25">
      <c r="A124" t="s">
        <v>496</v>
      </c>
      <c r="B124" t="s">
        <v>497</v>
      </c>
      <c r="C124">
        <v>0</v>
      </c>
      <c r="D124">
        <v>0</v>
      </c>
      <c r="E124">
        <v>0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>
        <v>0</v>
      </c>
      <c r="AR124">
        <v>0</v>
      </c>
      <c r="AS124">
        <v>0</v>
      </c>
      <c r="AT124">
        <v>0</v>
      </c>
    </row>
    <row r="125" spans="1:46" ht="15.75" x14ac:dyDescent="0.25">
      <c r="A125" t="s">
        <v>498</v>
      </c>
      <c r="B125" t="s">
        <v>499</v>
      </c>
      <c r="C125">
        <v>0</v>
      </c>
      <c r="D125">
        <v>-1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 s="28">
        <v>0</v>
      </c>
      <c r="AJ125" s="28">
        <v>0</v>
      </c>
      <c r="AK125" s="28">
        <v>0</v>
      </c>
      <c r="AL125" s="28">
        <v>0</v>
      </c>
      <c r="AM125" s="28">
        <v>0</v>
      </c>
      <c r="AN125" s="28">
        <v>0</v>
      </c>
      <c r="AO125" s="28">
        <v>0</v>
      </c>
      <c r="AP125" s="28">
        <v>0</v>
      </c>
      <c r="AQ125">
        <v>0</v>
      </c>
      <c r="AR125">
        <v>0</v>
      </c>
      <c r="AS125">
        <v>0</v>
      </c>
      <c r="AT125">
        <v>0</v>
      </c>
    </row>
    <row r="126" spans="1:46" ht="15.75" x14ac:dyDescent="0.25">
      <c r="A126" t="s">
        <v>500</v>
      </c>
      <c r="B126" t="s">
        <v>501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-1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-1</v>
      </c>
      <c r="AI126" s="28">
        <v>0</v>
      </c>
      <c r="AJ126" s="28">
        <v>0</v>
      </c>
      <c r="AK126" s="28">
        <v>0</v>
      </c>
      <c r="AL126" s="28">
        <v>0</v>
      </c>
      <c r="AM126" s="28">
        <v>0</v>
      </c>
      <c r="AN126" s="28">
        <v>0</v>
      </c>
      <c r="AO126" s="28">
        <v>0</v>
      </c>
      <c r="AP126" s="28">
        <v>0</v>
      </c>
      <c r="AQ126">
        <v>0</v>
      </c>
      <c r="AR126">
        <v>0</v>
      </c>
      <c r="AS126">
        <v>0</v>
      </c>
      <c r="AT126">
        <v>0</v>
      </c>
    </row>
    <row r="127" spans="1:46" ht="15.75" x14ac:dyDescent="0.25">
      <c r="A127" t="s">
        <v>502</v>
      </c>
      <c r="B127" t="s">
        <v>503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28">
        <v>0</v>
      </c>
      <c r="AP127" s="28">
        <v>0</v>
      </c>
      <c r="AQ127">
        <v>0</v>
      </c>
      <c r="AR127">
        <v>0</v>
      </c>
      <c r="AS127">
        <v>0</v>
      </c>
      <c r="AT127">
        <v>0</v>
      </c>
    </row>
    <row r="128" spans="1:46" ht="15.75" x14ac:dyDescent="0.25">
      <c r="A128" t="s">
        <v>504</v>
      </c>
      <c r="B128" t="s">
        <v>505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s="28">
        <v>0</v>
      </c>
      <c r="AJ128" s="28">
        <v>0</v>
      </c>
      <c r="AK128" s="28">
        <v>0</v>
      </c>
      <c r="AL128" s="28">
        <v>0</v>
      </c>
      <c r="AM128" s="28">
        <v>0</v>
      </c>
      <c r="AN128" s="28">
        <v>0</v>
      </c>
      <c r="AO128" s="28">
        <v>0</v>
      </c>
      <c r="AP128" s="28">
        <v>0</v>
      </c>
      <c r="AQ128">
        <v>0</v>
      </c>
      <c r="AR128">
        <v>0</v>
      </c>
      <c r="AS128">
        <v>0</v>
      </c>
      <c r="AT128">
        <v>0</v>
      </c>
    </row>
    <row r="129" spans="1:46" ht="15.75" x14ac:dyDescent="0.25">
      <c r="A129" t="s">
        <v>506</v>
      </c>
      <c r="B129" t="s">
        <v>507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0</v>
      </c>
      <c r="AQ129">
        <v>0</v>
      </c>
      <c r="AR129">
        <v>0</v>
      </c>
      <c r="AS129">
        <v>0</v>
      </c>
      <c r="AT129">
        <v>0</v>
      </c>
    </row>
    <row r="130" spans="1:46" ht="15.75" x14ac:dyDescent="0.25">
      <c r="A130" t="s">
        <v>508</v>
      </c>
      <c r="B130" t="s">
        <v>509</v>
      </c>
      <c r="C130">
        <v>2</v>
      </c>
      <c r="D130">
        <v>0</v>
      </c>
      <c r="E130">
        <v>0</v>
      </c>
      <c r="F130">
        <v>4</v>
      </c>
      <c r="G130">
        <v>0</v>
      </c>
      <c r="H130">
        <v>-1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5</v>
      </c>
      <c r="O130">
        <v>0</v>
      </c>
      <c r="P130">
        <v>0</v>
      </c>
      <c r="Q130">
        <v>-1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-1</v>
      </c>
      <c r="Y130">
        <v>0</v>
      </c>
      <c r="Z130">
        <v>4</v>
      </c>
      <c r="AA130">
        <v>0</v>
      </c>
      <c r="AB130">
        <v>0</v>
      </c>
      <c r="AC130">
        <v>2</v>
      </c>
      <c r="AD130">
        <v>3</v>
      </c>
      <c r="AE130">
        <v>0</v>
      </c>
      <c r="AF130">
        <v>0</v>
      </c>
      <c r="AG130">
        <v>0</v>
      </c>
      <c r="AH130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>
        <v>0</v>
      </c>
      <c r="AR130">
        <v>0</v>
      </c>
      <c r="AS130">
        <v>-3</v>
      </c>
      <c r="AT130">
        <v>0</v>
      </c>
    </row>
    <row r="131" spans="1:46" ht="15.75" x14ac:dyDescent="0.25">
      <c r="A131" t="s">
        <v>510</v>
      </c>
      <c r="B131" t="s">
        <v>511</v>
      </c>
      <c r="C131">
        <v>0</v>
      </c>
      <c r="D131">
        <v>0</v>
      </c>
      <c r="E131">
        <v>0</v>
      </c>
      <c r="F131">
        <v>5</v>
      </c>
      <c r="G131">
        <v>0</v>
      </c>
      <c r="H131">
        <v>0</v>
      </c>
      <c r="I131">
        <v>0</v>
      </c>
      <c r="J131">
        <v>2</v>
      </c>
      <c r="K131">
        <v>0</v>
      </c>
      <c r="L131">
        <v>0</v>
      </c>
      <c r="M131">
        <v>0</v>
      </c>
      <c r="N131">
        <v>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8">
        <v>0</v>
      </c>
      <c r="AQ131">
        <v>0</v>
      </c>
      <c r="AR131">
        <v>0</v>
      </c>
      <c r="AS131">
        <v>0</v>
      </c>
      <c r="AT131">
        <v>0</v>
      </c>
    </row>
    <row r="132" spans="1:46" ht="15.75" x14ac:dyDescent="0.25">
      <c r="A132" t="s">
        <v>512</v>
      </c>
      <c r="B132" t="s">
        <v>513</v>
      </c>
      <c r="C132">
        <v>0</v>
      </c>
      <c r="D132">
        <v>-1</v>
      </c>
      <c r="E132">
        <v>0</v>
      </c>
      <c r="F132">
        <v>5</v>
      </c>
      <c r="G132">
        <v>0</v>
      </c>
      <c r="H132">
        <v>-1</v>
      </c>
      <c r="I132">
        <v>5</v>
      </c>
      <c r="J132">
        <v>9</v>
      </c>
      <c r="K132">
        <v>0</v>
      </c>
      <c r="L132">
        <v>0</v>
      </c>
      <c r="M132">
        <v>0</v>
      </c>
      <c r="N132">
        <v>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-5</v>
      </c>
      <c r="AD132">
        <v>1</v>
      </c>
      <c r="AE132">
        <v>0</v>
      </c>
      <c r="AF132">
        <v>0</v>
      </c>
      <c r="AG132">
        <v>0</v>
      </c>
      <c r="AH132">
        <v>0</v>
      </c>
      <c r="AI132" s="28">
        <v>0</v>
      </c>
      <c r="AJ132" s="28">
        <v>0</v>
      </c>
      <c r="AK132" s="28">
        <v>0</v>
      </c>
      <c r="AL132" s="28">
        <v>0</v>
      </c>
      <c r="AM132" s="28">
        <v>0</v>
      </c>
      <c r="AN132" s="28">
        <v>0</v>
      </c>
      <c r="AO132" s="28">
        <v>0</v>
      </c>
      <c r="AP132" s="28">
        <v>0</v>
      </c>
      <c r="AQ132">
        <v>0</v>
      </c>
      <c r="AR132">
        <v>0</v>
      </c>
      <c r="AS132">
        <v>0</v>
      </c>
      <c r="AT132">
        <v>0</v>
      </c>
    </row>
    <row r="133" spans="1:46" ht="15.75" x14ac:dyDescent="0.25">
      <c r="A133" t="s">
        <v>514</v>
      </c>
      <c r="B133" t="s">
        <v>515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3</v>
      </c>
      <c r="K133">
        <v>0</v>
      </c>
      <c r="L133">
        <v>0</v>
      </c>
      <c r="M133">
        <v>0</v>
      </c>
      <c r="N133">
        <v>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s="28">
        <v>0</v>
      </c>
      <c r="AJ133" s="28">
        <v>0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0</v>
      </c>
      <c r="AQ133">
        <v>0</v>
      </c>
      <c r="AR133">
        <v>0</v>
      </c>
      <c r="AS133">
        <v>0</v>
      </c>
      <c r="AT133">
        <v>0</v>
      </c>
    </row>
    <row r="134" spans="1:46" ht="15.75" x14ac:dyDescent="0.25">
      <c r="A134" t="s">
        <v>516</v>
      </c>
      <c r="B134" t="s">
        <v>517</v>
      </c>
      <c r="C134">
        <v>0</v>
      </c>
      <c r="D134">
        <v>0</v>
      </c>
      <c r="E134">
        <v>0</v>
      </c>
      <c r="F134">
        <v>4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0</v>
      </c>
      <c r="AP134" s="28">
        <v>0</v>
      </c>
      <c r="AQ134">
        <v>0</v>
      </c>
      <c r="AR134">
        <v>0</v>
      </c>
      <c r="AS134">
        <v>0</v>
      </c>
      <c r="AT134">
        <v>0</v>
      </c>
    </row>
    <row r="135" spans="1:46" ht="15.75" x14ac:dyDescent="0.25">
      <c r="A135" t="s">
        <v>518</v>
      </c>
      <c r="B135" t="s">
        <v>519</v>
      </c>
      <c r="C135">
        <v>0</v>
      </c>
      <c r="D135">
        <v>0</v>
      </c>
      <c r="E135">
        <v>0</v>
      </c>
      <c r="F135">
        <v>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-1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s="28">
        <v>0</v>
      </c>
      <c r="AJ135" s="28">
        <v>0</v>
      </c>
      <c r="AK135" s="28">
        <v>0</v>
      </c>
      <c r="AL135" s="28">
        <v>0</v>
      </c>
      <c r="AM135" s="28">
        <v>0</v>
      </c>
      <c r="AN135" s="28">
        <v>0</v>
      </c>
      <c r="AO135" s="28">
        <v>0</v>
      </c>
      <c r="AP135" s="28">
        <v>0</v>
      </c>
      <c r="AQ135">
        <v>0</v>
      </c>
      <c r="AR135">
        <v>0</v>
      </c>
      <c r="AS135">
        <v>0</v>
      </c>
      <c r="AT135">
        <v>0</v>
      </c>
    </row>
    <row r="136" spans="1:46" ht="15.75" x14ac:dyDescent="0.25">
      <c r="A136" t="s">
        <v>520</v>
      </c>
      <c r="B136" t="s">
        <v>521</v>
      </c>
      <c r="C136">
        <v>4</v>
      </c>
      <c r="D136">
        <v>0</v>
      </c>
      <c r="E136">
        <v>0</v>
      </c>
      <c r="F136">
        <v>4</v>
      </c>
      <c r="G136">
        <v>0</v>
      </c>
      <c r="H136">
        <v>0</v>
      </c>
      <c r="I136">
        <v>0</v>
      </c>
      <c r="J136">
        <v>0</v>
      </c>
      <c r="K136">
        <v>3</v>
      </c>
      <c r="L136">
        <v>0</v>
      </c>
      <c r="M136">
        <v>0</v>
      </c>
      <c r="N136">
        <v>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>
        <v>3</v>
      </c>
      <c r="AR136">
        <v>0</v>
      </c>
      <c r="AS136">
        <v>0</v>
      </c>
      <c r="AT136">
        <v>0</v>
      </c>
    </row>
    <row r="137" spans="1:46" ht="15.75" x14ac:dyDescent="0.25">
      <c r="A137" t="s">
        <v>522</v>
      </c>
      <c r="B137" t="s">
        <v>523</v>
      </c>
      <c r="C137">
        <v>4</v>
      </c>
      <c r="D137">
        <v>-1</v>
      </c>
      <c r="E137">
        <v>0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3</v>
      </c>
      <c r="L137">
        <v>0</v>
      </c>
      <c r="M137">
        <v>0</v>
      </c>
      <c r="N137">
        <v>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s="28">
        <v>0</v>
      </c>
      <c r="AJ137" s="28">
        <v>0</v>
      </c>
      <c r="AK137" s="28">
        <v>0</v>
      </c>
      <c r="AL137" s="28">
        <v>0</v>
      </c>
      <c r="AM137" s="28">
        <v>0</v>
      </c>
      <c r="AN137" s="28">
        <v>0</v>
      </c>
      <c r="AO137" s="28">
        <v>0</v>
      </c>
      <c r="AP137" s="28">
        <v>0</v>
      </c>
      <c r="AQ137">
        <v>3</v>
      </c>
      <c r="AR137">
        <v>0</v>
      </c>
      <c r="AS137">
        <v>0</v>
      </c>
      <c r="AT137">
        <v>0</v>
      </c>
    </row>
    <row r="138" spans="1:46" ht="15.75" x14ac:dyDescent="0.25">
      <c r="A138" t="s">
        <v>524</v>
      </c>
      <c r="B138" t="s">
        <v>525</v>
      </c>
      <c r="C138">
        <v>0</v>
      </c>
      <c r="D138">
        <v>0</v>
      </c>
      <c r="E138">
        <v>0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-3</v>
      </c>
      <c r="AI138" s="28">
        <v>0</v>
      </c>
      <c r="AJ138" s="28">
        <v>0</v>
      </c>
      <c r="AK138" s="28">
        <v>0</v>
      </c>
      <c r="AL138" s="28">
        <v>0</v>
      </c>
      <c r="AM138" s="28">
        <v>0</v>
      </c>
      <c r="AN138" s="28">
        <v>0</v>
      </c>
      <c r="AO138" s="28">
        <v>0</v>
      </c>
      <c r="AP138" s="28">
        <v>0</v>
      </c>
      <c r="AQ138">
        <v>0</v>
      </c>
      <c r="AR138">
        <v>0</v>
      </c>
      <c r="AS138">
        <v>0</v>
      </c>
      <c r="AT138">
        <v>0</v>
      </c>
    </row>
    <row r="139" spans="1:46" ht="15.75" x14ac:dyDescent="0.25">
      <c r="A139" t="s">
        <v>526</v>
      </c>
      <c r="B139" t="s">
        <v>527</v>
      </c>
      <c r="C139">
        <v>0</v>
      </c>
      <c r="D139">
        <v>0</v>
      </c>
      <c r="E139">
        <v>0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s="28">
        <v>0</v>
      </c>
      <c r="AJ139" s="28">
        <v>0</v>
      </c>
      <c r="AK139" s="28">
        <v>0</v>
      </c>
      <c r="AL139" s="28">
        <v>0</v>
      </c>
      <c r="AM139" s="28">
        <v>0</v>
      </c>
      <c r="AN139" s="28">
        <v>0</v>
      </c>
      <c r="AO139" s="28">
        <v>0</v>
      </c>
      <c r="AP139" s="28">
        <v>0</v>
      </c>
      <c r="AQ139">
        <v>0</v>
      </c>
      <c r="AR139">
        <v>0</v>
      </c>
      <c r="AS139">
        <v>0</v>
      </c>
      <c r="AT139">
        <v>0</v>
      </c>
    </row>
    <row r="140" spans="1:46" ht="15.75" x14ac:dyDescent="0.25">
      <c r="A140" t="s">
        <v>528</v>
      </c>
      <c r="B140" t="s">
        <v>529</v>
      </c>
      <c r="C140">
        <v>0</v>
      </c>
      <c r="D140">
        <v>0</v>
      </c>
      <c r="E140">
        <v>0</v>
      </c>
      <c r="F140">
        <v>2</v>
      </c>
      <c r="G140">
        <v>0</v>
      </c>
      <c r="H140">
        <v>0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28">
        <v>0</v>
      </c>
      <c r="AO140" s="28">
        <v>0</v>
      </c>
      <c r="AP140" s="28">
        <v>0</v>
      </c>
      <c r="AQ140">
        <v>0</v>
      </c>
      <c r="AR140">
        <v>0</v>
      </c>
      <c r="AS140">
        <v>0</v>
      </c>
      <c r="AT140">
        <v>0</v>
      </c>
    </row>
    <row r="141" spans="1:46" ht="15.75" x14ac:dyDescent="0.25">
      <c r="A141" t="s">
        <v>530</v>
      </c>
      <c r="B141" t="s">
        <v>531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s="28">
        <v>0</v>
      </c>
      <c r="AJ141" s="28">
        <v>0</v>
      </c>
      <c r="AK141" s="28">
        <v>0</v>
      </c>
      <c r="AL141" s="28">
        <v>0</v>
      </c>
      <c r="AM141" s="28">
        <v>0</v>
      </c>
      <c r="AN141" s="28">
        <v>0</v>
      </c>
      <c r="AO141" s="28">
        <v>0</v>
      </c>
      <c r="AP141" s="28">
        <v>0</v>
      </c>
      <c r="AQ141">
        <v>0</v>
      </c>
      <c r="AR141">
        <v>0</v>
      </c>
      <c r="AS141">
        <v>0</v>
      </c>
      <c r="AT141">
        <v>0</v>
      </c>
    </row>
    <row r="142" spans="1:46" ht="15.75" x14ac:dyDescent="0.25">
      <c r="A142" t="s">
        <v>532</v>
      </c>
      <c r="B142" t="s">
        <v>533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5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0</v>
      </c>
      <c r="AO142" s="28">
        <v>0</v>
      </c>
      <c r="AP142" s="28">
        <v>0</v>
      </c>
      <c r="AQ142">
        <v>0</v>
      </c>
      <c r="AR142">
        <v>0</v>
      </c>
      <c r="AS142">
        <v>0</v>
      </c>
      <c r="AT142">
        <v>0</v>
      </c>
    </row>
    <row r="143" spans="1:46" ht="15.75" x14ac:dyDescent="0.25">
      <c r="A143" t="s">
        <v>534</v>
      </c>
      <c r="B143" t="s">
        <v>535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0</v>
      </c>
      <c r="AQ143">
        <v>0</v>
      </c>
      <c r="AR143">
        <v>0</v>
      </c>
      <c r="AS143">
        <v>0</v>
      </c>
      <c r="AT143">
        <v>0</v>
      </c>
    </row>
    <row r="144" spans="1:46" ht="15.75" x14ac:dyDescent="0.25">
      <c r="A144" t="s">
        <v>536</v>
      </c>
      <c r="B144" t="s">
        <v>537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-1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>
        <v>0</v>
      </c>
      <c r="AR144">
        <v>0</v>
      </c>
      <c r="AS144">
        <v>0</v>
      </c>
      <c r="AT144">
        <v>0</v>
      </c>
    </row>
    <row r="145" spans="1:46" ht="15.75" x14ac:dyDescent="0.25">
      <c r="A145" t="s">
        <v>538</v>
      </c>
      <c r="B145" t="s">
        <v>539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s="28">
        <v>0</v>
      </c>
      <c r="AJ145" s="28">
        <v>0</v>
      </c>
      <c r="AK145" s="28">
        <v>0</v>
      </c>
      <c r="AL145" s="28">
        <v>0</v>
      </c>
      <c r="AM145" s="28">
        <v>0</v>
      </c>
      <c r="AN145" s="28">
        <v>0</v>
      </c>
      <c r="AO145" s="28">
        <v>0</v>
      </c>
      <c r="AP145" s="28">
        <v>0</v>
      </c>
      <c r="AQ145">
        <v>0</v>
      </c>
      <c r="AR145">
        <v>0</v>
      </c>
      <c r="AS145">
        <v>0</v>
      </c>
      <c r="AT145">
        <v>0</v>
      </c>
    </row>
    <row r="146" spans="1:46" ht="15.75" x14ac:dyDescent="0.25">
      <c r="A146" t="s">
        <v>540</v>
      </c>
      <c r="B146" t="s">
        <v>541</v>
      </c>
      <c r="C146">
        <v>3</v>
      </c>
      <c r="D146">
        <v>0</v>
      </c>
      <c r="E146">
        <v>0</v>
      </c>
      <c r="F146">
        <v>3</v>
      </c>
      <c r="G146">
        <v>3</v>
      </c>
      <c r="H146">
        <v>0</v>
      </c>
      <c r="I146">
        <v>1</v>
      </c>
      <c r="J146">
        <v>4</v>
      </c>
      <c r="K146">
        <v>2</v>
      </c>
      <c r="L146">
        <v>-1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s="28">
        <v>0</v>
      </c>
      <c r="AJ146" s="28">
        <v>0</v>
      </c>
      <c r="AK146" s="28">
        <v>0</v>
      </c>
      <c r="AL146" s="28">
        <v>0</v>
      </c>
      <c r="AM146" s="28">
        <v>0</v>
      </c>
      <c r="AN146" s="28">
        <v>0</v>
      </c>
      <c r="AO146" s="28">
        <v>0</v>
      </c>
      <c r="AP146" s="28">
        <v>0</v>
      </c>
      <c r="AQ146">
        <v>3</v>
      </c>
      <c r="AR146">
        <v>0</v>
      </c>
      <c r="AS146">
        <v>-1</v>
      </c>
      <c r="AT146">
        <v>0</v>
      </c>
    </row>
    <row r="147" spans="1:46" ht="15.75" x14ac:dyDescent="0.25">
      <c r="A147" t="s">
        <v>542</v>
      </c>
      <c r="B147" t="s">
        <v>543</v>
      </c>
      <c r="C147">
        <v>0</v>
      </c>
      <c r="D147">
        <v>0</v>
      </c>
      <c r="E147">
        <v>0</v>
      </c>
      <c r="F147">
        <v>2</v>
      </c>
      <c r="G147">
        <v>0</v>
      </c>
      <c r="H147">
        <v>0</v>
      </c>
      <c r="I147">
        <v>3</v>
      </c>
      <c r="J147">
        <v>4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-3</v>
      </c>
      <c r="AD147">
        <v>0</v>
      </c>
      <c r="AE147">
        <v>0</v>
      </c>
      <c r="AF147">
        <v>0</v>
      </c>
      <c r="AG147">
        <v>0</v>
      </c>
      <c r="AH147">
        <v>-1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>
        <v>0</v>
      </c>
      <c r="AR147">
        <v>0</v>
      </c>
      <c r="AS147">
        <v>0</v>
      </c>
      <c r="AT147">
        <v>0</v>
      </c>
    </row>
    <row r="148" spans="1:46" ht="15.75" x14ac:dyDescent="0.25">
      <c r="A148" t="s">
        <v>544</v>
      </c>
      <c r="B148" t="s">
        <v>545</v>
      </c>
      <c r="C148">
        <v>3</v>
      </c>
      <c r="D148">
        <v>-1</v>
      </c>
      <c r="E148">
        <v>0</v>
      </c>
      <c r="F148">
        <v>2</v>
      </c>
      <c r="G148">
        <v>3</v>
      </c>
      <c r="H148">
        <v>0</v>
      </c>
      <c r="I148">
        <v>1</v>
      </c>
      <c r="J148">
        <v>4</v>
      </c>
      <c r="K148">
        <v>2</v>
      </c>
      <c r="L148">
        <v>-1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0</v>
      </c>
      <c r="AP148" s="28">
        <v>0</v>
      </c>
      <c r="AQ148">
        <v>3</v>
      </c>
      <c r="AR148">
        <v>0</v>
      </c>
      <c r="AS148">
        <v>-1</v>
      </c>
      <c r="AT148">
        <v>0</v>
      </c>
    </row>
    <row r="149" spans="1:46" ht="15.75" x14ac:dyDescent="0.25">
      <c r="A149" t="s">
        <v>546</v>
      </c>
      <c r="B149" t="s">
        <v>547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4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-1</v>
      </c>
      <c r="AD149">
        <v>0</v>
      </c>
      <c r="AE149">
        <v>0</v>
      </c>
      <c r="AF149">
        <v>0</v>
      </c>
      <c r="AG149">
        <v>0</v>
      </c>
      <c r="AH149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8">
        <v>0</v>
      </c>
      <c r="AQ149">
        <v>0</v>
      </c>
      <c r="AR149">
        <v>0</v>
      </c>
      <c r="AS149">
        <v>0</v>
      </c>
      <c r="AT149">
        <v>0</v>
      </c>
    </row>
    <row r="150" spans="1:46" ht="15.75" x14ac:dyDescent="0.25">
      <c r="A150" t="s">
        <v>548</v>
      </c>
      <c r="B150" t="s">
        <v>549</v>
      </c>
      <c r="C150">
        <v>0</v>
      </c>
      <c r="D150">
        <v>-1</v>
      </c>
      <c r="E150">
        <v>0</v>
      </c>
      <c r="F150">
        <v>2</v>
      </c>
      <c r="G150">
        <v>0</v>
      </c>
      <c r="H150">
        <v>0</v>
      </c>
      <c r="I150">
        <v>0</v>
      </c>
      <c r="J150">
        <v>3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-1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>
        <v>0</v>
      </c>
      <c r="AR150">
        <v>0</v>
      </c>
      <c r="AS150">
        <v>0</v>
      </c>
      <c r="AT150">
        <v>0</v>
      </c>
    </row>
    <row r="151" spans="1:46" ht="15.75" x14ac:dyDescent="0.25">
      <c r="A151" t="s">
        <v>550</v>
      </c>
      <c r="B151" t="s">
        <v>551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3</v>
      </c>
      <c r="K151">
        <v>0</v>
      </c>
      <c r="L151">
        <v>-1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s="28">
        <v>0</v>
      </c>
      <c r="AJ151" s="28">
        <v>0</v>
      </c>
      <c r="AK151" s="28">
        <v>0</v>
      </c>
      <c r="AL151" s="28">
        <v>0</v>
      </c>
      <c r="AM151" s="28">
        <v>0</v>
      </c>
      <c r="AN151" s="28">
        <v>0</v>
      </c>
      <c r="AO151" s="28">
        <v>0</v>
      </c>
      <c r="AP151" s="28">
        <v>0</v>
      </c>
      <c r="AQ151">
        <v>0</v>
      </c>
      <c r="AR151">
        <v>0</v>
      </c>
      <c r="AS151">
        <v>0</v>
      </c>
      <c r="AT151">
        <v>0</v>
      </c>
    </row>
    <row r="152" spans="1:46" ht="15.75" x14ac:dyDescent="0.25">
      <c r="A152" t="s">
        <v>552</v>
      </c>
      <c r="B152" t="s">
        <v>553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s="28">
        <v>0</v>
      </c>
      <c r="AJ152" s="28">
        <v>0</v>
      </c>
      <c r="AK152" s="28">
        <v>0</v>
      </c>
      <c r="AL152" s="28">
        <v>0</v>
      </c>
      <c r="AM152" s="28">
        <v>0</v>
      </c>
      <c r="AN152" s="28">
        <v>0</v>
      </c>
      <c r="AO152" s="28">
        <v>0</v>
      </c>
      <c r="AP152" s="28">
        <v>0</v>
      </c>
      <c r="AQ152">
        <v>0</v>
      </c>
      <c r="AR152">
        <v>0</v>
      </c>
      <c r="AS152">
        <v>0</v>
      </c>
      <c r="AT152">
        <v>0</v>
      </c>
    </row>
    <row r="153" spans="1:46" ht="15.75" x14ac:dyDescent="0.25">
      <c r="A153" t="s">
        <v>554</v>
      </c>
      <c r="B153" t="s">
        <v>555</v>
      </c>
      <c r="C153">
        <v>0</v>
      </c>
      <c r="D153">
        <v>0</v>
      </c>
      <c r="E153">
        <v>0</v>
      </c>
      <c r="F153">
        <v>4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</v>
      </c>
      <c r="AE153">
        <v>0</v>
      </c>
      <c r="AF153">
        <v>0</v>
      </c>
      <c r="AG153">
        <v>0</v>
      </c>
      <c r="AH153">
        <v>0</v>
      </c>
      <c r="AI153" s="28">
        <v>0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0</v>
      </c>
      <c r="AP153" s="28">
        <v>0</v>
      </c>
      <c r="AQ153">
        <v>0</v>
      </c>
      <c r="AR153">
        <v>0</v>
      </c>
      <c r="AS153">
        <v>0</v>
      </c>
      <c r="AT153">
        <v>0</v>
      </c>
    </row>
    <row r="154" spans="1:46" ht="15.75" x14ac:dyDescent="0.25">
      <c r="A154" t="s">
        <v>556</v>
      </c>
      <c r="B154" t="s">
        <v>557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</v>
      </c>
      <c r="AE154">
        <v>0</v>
      </c>
      <c r="AF154">
        <v>0</v>
      </c>
      <c r="AG154">
        <v>0</v>
      </c>
      <c r="AH154">
        <v>0</v>
      </c>
      <c r="AI154" s="28">
        <v>0</v>
      </c>
      <c r="AJ154" s="28">
        <v>0</v>
      </c>
      <c r="AK154" s="28">
        <v>0</v>
      </c>
      <c r="AL154" s="28">
        <v>0</v>
      </c>
      <c r="AM154" s="28">
        <v>0</v>
      </c>
      <c r="AN154" s="28">
        <v>0</v>
      </c>
      <c r="AO154" s="28">
        <v>0</v>
      </c>
      <c r="AP154" s="28">
        <v>0</v>
      </c>
      <c r="AQ154">
        <v>0</v>
      </c>
      <c r="AR154">
        <v>0</v>
      </c>
      <c r="AS154">
        <v>0</v>
      </c>
      <c r="AT154">
        <v>0</v>
      </c>
    </row>
    <row r="155" spans="1:46" ht="15.75" x14ac:dyDescent="0.25">
      <c r="A155" t="s">
        <v>558</v>
      </c>
      <c r="B155" t="s">
        <v>559</v>
      </c>
      <c r="C155">
        <v>0</v>
      </c>
      <c r="D155">
        <v>0</v>
      </c>
      <c r="E155">
        <v>0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>
        <v>0</v>
      </c>
      <c r="AR155">
        <v>0</v>
      </c>
      <c r="AS155">
        <v>0</v>
      </c>
      <c r="AT155">
        <v>0</v>
      </c>
    </row>
    <row r="156" spans="1:46" ht="15.75" x14ac:dyDescent="0.25">
      <c r="A156" t="s">
        <v>560</v>
      </c>
      <c r="B156" t="s">
        <v>561</v>
      </c>
      <c r="C156">
        <v>0</v>
      </c>
      <c r="D156">
        <v>-1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s="28">
        <v>0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>
        <v>0</v>
      </c>
      <c r="AR156">
        <v>0</v>
      </c>
      <c r="AS156">
        <v>0</v>
      </c>
      <c r="AT156">
        <v>0</v>
      </c>
    </row>
    <row r="157" spans="1:46" ht="15.75" x14ac:dyDescent="0.25">
      <c r="A157" t="s">
        <v>562</v>
      </c>
      <c r="B157" t="s">
        <v>563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</v>
      </c>
      <c r="U157">
        <v>0</v>
      </c>
      <c r="V157">
        <v>0</v>
      </c>
      <c r="W157">
        <v>0</v>
      </c>
      <c r="X157">
        <v>-1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0</v>
      </c>
      <c r="AQ157">
        <v>0</v>
      </c>
      <c r="AR157">
        <v>0</v>
      </c>
      <c r="AS157">
        <v>0</v>
      </c>
      <c r="AT157">
        <v>0</v>
      </c>
    </row>
    <row r="158" spans="1:46" ht="15.75" x14ac:dyDescent="0.25">
      <c r="A158" t="s">
        <v>564</v>
      </c>
      <c r="B158" t="s">
        <v>565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>
        <v>0</v>
      </c>
      <c r="AR158">
        <v>0</v>
      </c>
      <c r="AS158">
        <v>0</v>
      </c>
      <c r="AT158">
        <v>0</v>
      </c>
    </row>
    <row r="159" spans="1:46" ht="15.75" x14ac:dyDescent="0.25">
      <c r="A159" t="s">
        <v>566</v>
      </c>
      <c r="B159" t="s">
        <v>567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s="28">
        <v>0</v>
      </c>
      <c r="AJ159" s="28">
        <v>0</v>
      </c>
      <c r="AK159" s="28">
        <v>0</v>
      </c>
      <c r="AL159" s="28">
        <v>0</v>
      </c>
      <c r="AM159" s="28">
        <v>0</v>
      </c>
      <c r="AN159" s="28">
        <v>0</v>
      </c>
      <c r="AO159" s="28">
        <v>0</v>
      </c>
      <c r="AP159" s="28">
        <v>0</v>
      </c>
      <c r="AQ159">
        <v>0</v>
      </c>
      <c r="AR159">
        <v>0</v>
      </c>
      <c r="AS159">
        <v>0</v>
      </c>
      <c r="AT159">
        <v>0</v>
      </c>
    </row>
    <row r="160" spans="1:46" ht="15.75" x14ac:dyDescent="0.25">
      <c r="A160" t="s">
        <v>568</v>
      </c>
      <c r="B160" t="s">
        <v>569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s="28">
        <v>0</v>
      </c>
      <c r="AJ160" s="28">
        <v>0</v>
      </c>
      <c r="AK160" s="28">
        <v>0</v>
      </c>
      <c r="AL160" s="28">
        <v>0</v>
      </c>
      <c r="AM160" s="28">
        <v>0</v>
      </c>
      <c r="AN160" s="28">
        <v>0</v>
      </c>
      <c r="AO160" s="28">
        <v>0</v>
      </c>
      <c r="AP160" s="28">
        <v>0</v>
      </c>
      <c r="AQ160">
        <v>0</v>
      </c>
      <c r="AR160">
        <v>0</v>
      </c>
      <c r="AS160">
        <v>0</v>
      </c>
      <c r="AT160">
        <v>0</v>
      </c>
    </row>
    <row r="161" spans="1:46" ht="15.75" x14ac:dyDescent="0.25">
      <c r="A161" t="s">
        <v>570</v>
      </c>
      <c r="B161" t="s">
        <v>571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>
        <v>0</v>
      </c>
      <c r="AR161">
        <v>0</v>
      </c>
      <c r="AS161">
        <v>0</v>
      </c>
      <c r="AT161">
        <v>0</v>
      </c>
    </row>
    <row r="162" spans="1:46" ht="15.75" x14ac:dyDescent="0.25">
      <c r="A162" t="s">
        <v>572</v>
      </c>
      <c r="B162" t="s">
        <v>573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>
        <v>0</v>
      </c>
      <c r="AR162">
        <v>0</v>
      </c>
      <c r="AS162">
        <v>0</v>
      </c>
      <c r="AT162">
        <v>0</v>
      </c>
    </row>
    <row r="163" spans="1:46" ht="15.75" x14ac:dyDescent="0.25">
      <c r="A163" t="s">
        <v>574</v>
      </c>
      <c r="B163" t="s">
        <v>575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0</v>
      </c>
      <c r="AQ163">
        <v>0</v>
      </c>
      <c r="AR163">
        <v>0</v>
      </c>
      <c r="AS163">
        <v>0</v>
      </c>
      <c r="AT163">
        <v>0</v>
      </c>
    </row>
    <row r="164" spans="1:46" ht="15.75" x14ac:dyDescent="0.25">
      <c r="A164" t="s">
        <v>576</v>
      </c>
      <c r="B164" t="s">
        <v>471</v>
      </c>
      <c r="C164">
        <v>0</v>
      </c>
      <c r="D164">
        <v>-1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>
        <v>0</v>
      </c>
      <c r="AR164">
        <v>0</v>
      </c>
      <c r="AS164">
        <v>0</v>
      </c>
      <c r="AT164">
        <v>0</v>
      </c>
    </row>
    <row r="165" spans="1:46" ht="15.75" x14ac:dyDescent="0.25">
      <c r="A165" t="s">
        <v>577</v>
      </c>
      <c r="B165" t="s">
        <v>471</v>
      </c>
      <c r="C165">
        <v>7</v>
      </c>
      <c r="D165">
        <v>0</v>
      </c>
      <c r="E165">
        <v>0</v>
      </c>
      <c r="F165">
        <v>7</v>
      </c>
      <c r="G165">
        <v>6</v>
      </c>
      <c r="H165">
        <v>0</v>
      </c>
      <c r="I165">
        <v>0</v>
      </c>
      <c r="J165">
        <v>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6</v>
      </c>
      <c r="AB165">
        <v>0</v>
      </c>
      <c r="AC165">
        <v>0</v>
      </c>
      <c r="AD165">
        <v>6</v>
      </c>
      <c r="AE165">
        <v>0</v>
      </c>
      <c r="AF165">
        <v>0</v>
      </c>
      <c r="AG165">
        <v>0</v>
      </c>
      <c r="AH165">
        <v>0</v>
      </c>
      <c r="AI165" s="28">
        <v>0</v>
      </c>
      <c r="AJ165" s="28">
        <v>0</v>
      </c>
      <c r="AK165" s="28">
        <v>0</v>
      </c>
      <c r="AL165" s="28">
        <v>0</v>
      </c>
      <c r="AM165" s="28">
        <v>0</v>
      </c>
      <c r="AN165" s="28">
        <v>0</v>
      </c>
      <c r="AO165" s="28">
        <v>0</v>
      </c>
      <c r="AP165" s="28">
        <v>0</v>
      </c>
      <c r="AQ165">
        <v>0</v>
      </c>
      <c r="AR165">
        <v>0</v>
      </c>
      <c r="AS165">
        <v>0</v>
      </c>
      <c r="AT165">
        <v>0</v>
      </c>
    </row>
    <row r="166" spans="1:46" ht="15.75" x14ac:dyDescent="0.25">
      <c r="A166" t="s">
        <v>578</v>
      </c>
      <c r="B166" t="s">
        <v>579</v>
      </c>
      <c r="C166">
        <v>0</v>
      </c>
      <c r="D166">
        <v>-2</v>
      </c>
      <c r="E166">
        <v>0</v>
      </c>
      <c r="F166">
        <v>2</v>
      </c>
      <c r="G166">
        <v>0</v>
      </c>
      <c r="H166">
        <v>0</v>
      </c>
      <c r="I166">
        <v>4</v>
      </c>
      <c r="J166">
        <v>6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3</v>
      </c>
      <c r="AE166">
        <v>0</v>
      </c>
      <c r="AF166">
        <v>0</v>
      </c>
      <c r="AG166">
        <v>0</v>
      </c>
      <c r="AH166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>
        <v>0</v>
      </c>
      <c r="AR166">
        <v>0</v>
      </c>
      <c r="AS166">
        <v>-4</v>
      </c>
      <c r="AT166">
        <v>0</v>
      </c>
    </row>
    <row r="167" spans="1:46" ht="15.75" x14ac:dyDescent="0.25">
      <c r="A167" t="s">
        <v>580</v>
      </c>
      <c r="B167" t="s">
        <v>581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3</v>
      </c>
      <c r="J167">
        <v>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-3</v>
      </c>
      <c r="AD167">
        <v>0</v>
      </c>
      <c r="AE167">
        <v>0</v>
      </c>
      <c r="AF167">
        <v>0</v>
      </c>
      <c r="AG167">
        <v>0</v>
      </c>
      <c r="AH167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0</v>
      </c>
      <c r="AQ167">
        <v>0</v>
      </c>
      <c r="AR167">
        <v>0</v>
      </c>
      <c r="AS167">
        <v>0</v>
      </c>
      <c r="AT167">
        <v>0</v>
      </c>
    </row>
    <row r="168" spans="1:46" ht="15.75" x14ac:dyDescent="0.25">
      <c r="A168" t="s">
        <v>582</v>
      </c>
      <c r="B168" t="s">
        <v>583</v>
      </c>
      <c r="C168">
        <v>5</v>
      </c>
      <c r="D168">
        <v>0</v>
      </c>
      <c r="E168">
        <v>0</v>
      </c>
      <c r="F168">
        <v>6</v>
      </c>
      <c r="G168">
        <v>5</v>
      </c>
      <c r="H168">
        <v>-1</v>
      </c>
      <c r="I168">
        <v>0</v>
      </c>
      <c r="J168">
        <v>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5</v>
      </c>
      <c r="AB168">
        <v>-1</v>
      </c>
      <c r="AC168">
        <v>0</v>
      </c>
      <c r="AD168">
        <v>7</v>
      </c>
      <c r="AE168">
        <v>0</v>
      </c>
      <c r="AF168">
        <v>0</v>
      </c>
      <c r="AG168">
        <v>0</v>
      </c>
      <c r="AH16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>
        <v>0</v>
      </c>
      <c r="AR168">
        <v>0</v>
      </c>
      <c r="AS168">
        <v>0</v>
      </c>
      <c r="AT168">
        <v>0</v>
      </c>
    </row>
    <row r="169" spans="1:46" ht="15.75" x14ac:dyDescent="0.25">
      <c r="A169" t="s">
        <v>584</v>
      </c>
      <c r="B169" t="s">
        <v>585</v>
      </c>
      <c r="C169">
        <v>6</v>
      </c>
      <c r="D169">
        <v>-1</v>
      </c>
      <c r="E169">
        <v>0</v>
      </c>
      <c r="F169">
        <v>5</v>
      </c>
      <c r="G169">
        <v>5</v>
      </c>
      <c r="H169">
        <v>0</v>
      </c>
      <c r="I169">
        <v>0</v>
      </c>
      <c r="J169">
        <v>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6</v>
      </c>
      <c r="AB169">
        <v>0</v>
      </c>
      <c r="AC169">
        <v>0</v>
      </c>
      <c r="AD169">
        <v>6</v>
      </c>
      <c r="AE169">
        <v>0</v>
      </c>
      <c r="AF169">
        <v>0</v>
      </c>
      <c r="AG169">
        <v>0</v>
      </c>
      <c r="AH169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>
        <v>0</v>
      </c>
      <c r="AR169">
        <v>0</v>
      </c>
      <c r="AS169">
        <v>0</v>
      </c>
      <c r="AT169">
        <v>0</v>
      </c>
    </row>
    <row r="170" spans="1:46" ht="15.75" x14ac:dyDescent="0.25">
      <c r="A170" t="s">
        <v>586</v>
      </c>
      <c r="B170" t="s">
        <v>587</v>
      </c>
      <c r="C170">
        <v>0</v>
      </c>
      <c r="D170">
        <v>-1</v>
      </c>
      <c r="E170">
        <v>0</v>
      </c>
      <c r="F170">
        <v>4</v>
      </c>
      <c r="G170">
        <v>0</v>
      </c>
      <c r="H170">
        <v>0</v>
      </c>
      <c r="I170">
        <v>0</v>
      </c>
      <c r="J170">
        <v>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>
        <v>0</v>
      </c>
      <c r="AR170">
        <v>0</v>
      </c>
      <c r="AS170">
        <v>0</v>
      </c>
      <c r="AT170">
        <v>0</v>
      </c>
    </row>
    <row r="171" spans="1:46" ht="15.75" x14ac:dyDescent="0.25">
      <c r="A171" t="s">
        <v>588</v>
      </c>
      <c r="B171" t="s">
        <v>589</v>
      </c>
      <c r="C171">
        <v>0</v>
      </c>
      <c r="D171">
        <v>0</v>
      </c>
      <c r="E171">
        <v>0</v>
      </c>
      <c r="F171">
        <v>2</v>
      </c>
      <c r="G171">
        <v>0</v>
      </c>
      <c r="H171">
        <v>0</v>
      </c>
      <c r="I171">
        <v>2</v>
      </c>
      <c r="J171">
        <v>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-2</v>
      </c>
      <c r="AD171">
        <v>0</v>
      </c>
      <c r="AE171">
        <v>0</v>
      </c>
      <c r="AF171">
        <v>0</v>
      </c>
      <c r="AG171">
        <v>0</v>
      </c>
      <c r="AH171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>
        <v>0</v>
      </c>
      <c r="AR171">
        <v>0</v>
      </c>
      <c r="AS171">
        <v>0</v>
      </c>
      <c r="AT171">
        <v>0</v>
      </c>
    </row>
    <row r="172" spans="1:46" ht="15.75" x14ac:dyDescent="0.25">
      <c r="A172" t="s">
        <v>590</v>
      </c>
      <c r="B172" t="s">
        <v>591</v>
      </c>
      <c r="C172">
        <v>0</v>
      </c>
      <c r="D172">
        <v>0</v>
      </c>
      <c r="E172">
        <v>0</v>
      </c>
      <c r="F172">
        <v>2</v>
      </c>
      <c r="G172">
        <v>0</v>
      </c>
      <c r="H172">
        <v>0</v>
      </c>
      <c r="I172">
        <v>2</v>
      </c>
      <c r="J172">
        <v>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-2</v>
      </c>
      <c r="AD172">
        <v>0</v>
      </c>
      <c r="AE172">
        <v>0</v>
      </c>
      <c r="AF172">
        <v>0</v>
      </c>
      <c r="AG172">
        <v>0</v>
      </c>
      <c r="AH172">
        <v>0</v>
      </c>
      <c r="AI172" s="28">
        <v>0</v>
      </c>
      <c r="AJ172" s="28">
        <v>0</v>
      </c>
      <c r="AK172" s="28">
        <v>0</v>
      </c>
      <c r="AL172" s="28">
        <v>0</v>
      </c>
      <c r="AM172" s="28">
        <v>0</v>
      </c>
      <c r="AN172" s="28">
        <v>0</v>
      </c>
      <c r="AO172" s="28">
        <v>0</v>
      </c>
      <c r="AP172" s="28">
        <v>0</v>
      </c>
      <c r="AQ172">
        <v>0</v>
      </c>
      <c r="AR172">
        <v>0</v>
      </c>
      <c r="AS172">
        <v>0</v>
      </c>
      <c r="AT172">
        <v>0</v>
      </c>
    </row>
    <row r="173" spans="1:46" ht="15.75" x14ac:dyDescent="0.25">
      <c r="A173" t="s">
        <v>592</v>
      </c>
      <c r="B173" t="s">
        <v>593</v>
      </c>
      <c r="C173">
        <v>0</v>
      </c>
      <c r="D173">
        <v>0</v>
      </c>
      <c r="E173">
        <v>0</v>
      </c>
      <c r="F173">
        <v>2</v>
      </c>
      <c r="G173">
        <v>0</v>
      </c>
      <c r="H173">
        <v>0</v>
      </c>
      <c r="I173">
        <v>3</v>
      </c>
      <c r="J173">
        <v>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-1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-3</v>
      </c>
      <c r="AD173">
        <v>0</v>
      </c>
      <c r="AE173">
        <v>0</v>
      </c>
      <c r="AF173">
        <v>0</v>
      </c>
      <c r="AG173">
        <v>0</v>
      </c>
      <c r="AH173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0</v>
      </c>
      <c r="AQ173">
        <v>0</v>
      </c>
      <c r="AR173">
        <v>0</v>
      </c>
      <c r="AS173">
        <v>0</v>
      </c>
      <c r="AT173">
        <v>0</v>
      </c>
    </row>
    <row r="174" spans="1:46" ht="15.75" x14ac:dyDescent="0.25">
      <c r="A174" t="s">
        <v>594</v>
      </c>
      <c r="B174" t="s">
        <v>595</v>
      </c>
      <c r="C174">
        <v>0</v>
      </c>
      <c r="D174">
        <v>-6</v>
      </c>
      <c r="E174">
        <v>4</v>
      </c>
      <c r="F174">
        <v>2</v>
      </c>
      <c r="G174">
        <v>0</v>
      </c>
      <c r="H174">
        <v>0</v>
      </c>
      <c r="I174">
        <v>0</v>
      </c>
      <c r="J174">
        <v>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4</v>
      </c>
      <c r="AE174">
        <v>0</v>
      </c>
      <c r="AF174">
        <v>0</v>
      </c>
      <c r="AG174">
        <v>0</v>
      </c>
      <c r="AH174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>
        <v>0</v>
      </c>
      <c r="AR174">
        <v>0</v>
      </c>
      <c r="AS174">
        <v>-4</v>
      </c>
      <c r="AT174">
        <v>0</v>
      </c>
    </row>
    <row r="175" spans="1:46" ht="15.75" x14ac:dyDescent="0.25">
      <c r="A175" t="s">
        <v>596</v>
      </c>
      <c r="B175" t="s">
        <v>597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4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>
        <v>0</v>
      </c>
      <c r="AR175">
        <v>0</v>
      </c>
      <c r="AS175">
        <v>0</v>
      </c>
      <c r="AT175">
        <v>0</v>
      </c>
    </row>
    <row r="176" spans="1:46" ht="15.75" x14ac:dyDescent="0.25">
      <c r="A176" t="s">
        <v>598</v>
      </c>
      <c r="B176" t="s">
        <v>471</v>
      </c>
      <c r="C176">
        <v>0</v>
      </c>
      <c r="D176">
        <v>-1</v>
      </c>
      <c r="E176">
        <v>0</v>
      </c>
      <c r="F176">
        <v>15</v>
      </c>
      <c r="G176">
        <v>0</v>
      </c>
      <c r="H176">
        <v>0</v>
      </c>
      <c r="I176">
        <v>0</v>
      </c>
      <c r="J176">
        <v>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3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-1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>
        <v>0</v>
      </c>
      <c r="AR176">
        <v>0</v>
      </c>
      <c r="AS176">
        <v>0</v>
      </c>
      <c r="AT176">
        <v>0</v>
      </c>
    </row>
    <row r="177" spans="1:46" ht="15.75" x14ac:dyDescent="0.25">
      <c r="A177" t="s">
        <v>599</v>
      </c>
      <c r="B177" t="s">
        <v>600</v>
      </c>
      <c r="C177">
        <v>0</v>
      </c>
      <c r="D177">
        <v>0</v>
      </c>
      <c r="E177">
        <v>3</v>
      </c>
      <c r="F177">
        <v>3</v>
      </c>
      <c r="G177">
        <v>0</v>
      </c>
      <c r="H177">
        <v>0</v>
      </c>
      <c r="I177">
        <v>3</v>
      </c>
      <c r="J177">
        <v>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s="28">
        <v>0</v>
      </c>
      <c r="AJ177" s="28">
        <v>0</v>
      </c>
      <c r="AK177" s="28">
        <v>0</v>
      </c>
      <c r="AL177" s="28">
        <v>0</v>
      </c>
      <c r="AM177" s="28">
        <v>0</v>
      </c>
      <c r="AN177" s="28">
        <v>0</v>
      </c>
      <c r="AO177" s="28">
        <v>0</v>
      </c>
      <c r="AP177" s="28">
        <v>0</v>
      </c>
      <c r="AQ177">
        <v>0</v>
      </c>
      <c r="AR177">
        <v>-1</v>
      </c>
      <c r="AS177">
        <v>-6</v>
      </c>
      <c r="AT177">
        <v>0</v>
      </c>
    </row>
    <row r="178" spans="1:46" ht="15.75" x14ac:dyDescent="0.25">
      <c r="A178" t="s">
        <v>601</v>
      </c>
      <c r="B178" t="s">
        <v>602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0</v>
      </c>
      <c r="I178">
        <v>1</v>
      </c>
      <c r="J178">
        <v>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-1</v>
      </c>
      <c r="AD178">
        <v>0</v>
      </c>
      <c r="AE178">
        <v>0</v>
      </c>
      <c r="AF178">
        <v>0</v>
      </c>
      <c r="AG178">
        <v>0</v>
      </c>
      <c r="AH178">
        <v>-1</v>
      </c>
      <c r="AI178" s="28">
        <v>0</v>
      </c>
      <c r="AJ178" s="28">
        <v>0</v>
      </c>
      <c r="AK178" s="28">
        <v>0</v>
      </c>
      <c r="AL178" s="28">
        <v>0</v>
      </c>
      <c r="AM178" s="28">
        <v>0</v>
      </c>
      <c r="AN178" s="28">
        <v>0</v>
      </c>
      <c r="AO178" s="28">
        <v>0</v>
      </c>
      <c r="AP178" s="28">
        <v>0</v>
      </c>
      <c r="AQ178">
        <v>0</v>
      </c>
      <c r="AR178">
        <v>0</v>
      </c>
      <c r="AS178">
        <v>0</v>
      </c>
      <c r="AT178">
        <v>0</v>
      </c>
    </row>
    <row r="179" spans="1:46" ht="15.75" x14ac:dyDescent="0.25">
      <c r="A179" t="s">
        <v>603</v>
      </c>
      <c r="B179" t="s">
        <v>604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>
        <v>0</v>
      </c>
      <c r="AR179">
        <v>0</v>
      </c>
      <c r="AS179">
        <v>0</v>
      </c>
      <c r="AT179">
        <v>0</v>
      </c>
    </row>
    <row r="180" spans="1:46" ht="15.75" x14ac:dyDescent="0.25">
      <c r="A180" t="s">
        <v>605</v>
      </c>
      <c r="B180" t="s">
        <v>606</v>
      </c>
      <c r="C180">
        <v>1</v>
      </c>
      <c r="D180">
        <v>-1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>
        <v>0</v>
      </c>
      <c r="AR180">
        <v>0</v>
      </c>
      <c r="AS180">
        <v>-2</v>
      </c>
      <c r="AT180">
        <v>0</v>
      </c>
    </row>
    <row r="181" spans="1:46" ht="15.75" x14ac:dyDescent="0.25">
      <c r="A181" t="s">
        <v>607</v>
      </c>
      <c r="B181" t="s">
        <v>608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-1</v>
      </c>
      <c r="I181">
        <v>0</v>
      </c>
      <c r="J181">
        <v>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s="28">
        <v>0</v>
      </c>
      <c r="AJ181" s="28">
        <v>0</v>
      </c>
      <c r="AK181" s="28">
        <v>0</v>
      </c>
      <c r="AL181" s="28">
        <v>0</v>
      </c>
      <c r="AM181" s="28">
        <v>0</v>
      </c>
      <c r="AN181" s="28">
        <v>0</v>
      </c>
      <c r="AO181" s="28">
        <v>0</v>
      </c>
      <c r="AP181" s="28">
        <v>0</v>
      </c>
      <c r="AQ181">
        <v>0</v>
      </c>
      <c r="AR181">
        <v>0</v>
      </c>
      <c r="AS181">
        <v>0</v>
      </c>
      <c r="AT181">
        <v>0</v>
      </c>
    </row>
    <row r="182" spans="1:46" ht="15.75" x14ac:dyDescent="0.25">
      <c r="A182" t="s">
        <v>609</v>
      </c>
      <c r="B182" t="s">
        <v>610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s="28">
        <v>0</v>
      </c>
      <c r="AJ182" s="28">
        <v>0</v>
      </c>
      <c r="AK182" s="28">
        <v>0</v>
      </c>
      <c r="AL182" s="28">
        <v>0</v>
      </c>
      <c r="AM182" s="28">
        <v>0</v>
      </c>
      <c r="AN182" s="28">
        <v>0</v>
      </c>
      <c r="AO182" s="28">
        <v>0</v>
      </c>
      <c r="AP182" s="28">
        <v>0</v>
      </c>
      <c r="AQ182">
        <v>0</v>
      </c>
      <c r="AR182">
        <v>0</v>
      </c>
      <c r="AS182">
        <v>0</v>
      </c>
      <c r="AT182">
        <v>0</v>
      </c>
    </row>
    <row r="183" spans="1:46" ht="15.75" x14ac:dyDescent="0.25">
      <c r="A183" t="s">
        <v>611</v>
      </c>
      <c r="B183" t="s">
        <v>612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3</v>
      </c>
      <c r="J183">
        <v>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-3</v>
      </c>
      <c r="AD183">
        <v>0</v>
      </c>
      <c r="AE183">
        <v>0</v>
      </c>
      <c r="AF183">
        <v>0</v>
      </c>
      <c r="AG183">
        <v>0</v>
      </c>
      <c r="AH183">
        <v>0</v>
      </c>
      <c r="AI183" s="28">
        <v>0</v>
      </c>
      <c r="AJ183" s="28">
        <v>0</v>
      </c>
      <c r="AK183" s="28">
        <v>0</v>
      </c>
      <c r="AL183" s="28">
        <v>0</v>
      </c>
      <c r="AM183" s="28">
        <v>0</v>
      </c>
      <c r="AN183" s="28">
        <v>0</v>
      </c>
      <c r="AO183" s="28">
        <v>0</v>
      </c>
      <c r="AP183" s="28">
        <v>0</v>
      </c>
      <c r="AQ183">
        <v>0</v>
      </c>
      <c r="AR183">
        <v>0</v>
      </c>
      <c r="AS183">
        <v>0</v>
      </c>
      <c r="AT183">
        <v>0</v>
      </c>
    </row>
    <row r="184" spans="1:46" ht="15.75" x14ac:dyDescent="0.25">
      <c r="A184" t="s">
        <v>613</v>
      </c>
      <c r="B184" t="s">
        <v>614</v>
      </c>
      <c r="C184">
        <v>0</v>
      </c>
      <c r="D184">
        <v>0</v>
      </c>
      <c r="E184">
        <v>0</v>
      </c>
      <c r="F184">
        <v>6</v>
      </c>
      <c r="G184">
        <v>0</v>
      </c>
      <c r="H184">
        <v>0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s="28">
        <v>0</v>
      </c>
      <c r="AJ184" s="28">
        <v>0</v>
      </c>
      <c r="AK184" s="28">
        <v>0</v>
      </c>
      <c r="AL184" s="28">
        <v>0</v>
      </c>
      <c r="AM184" s="28">
        <v>0</v>
      </c>
      <c r="AN184" s="28">
        <v>0</v>
      </c>
      <c r="AO184" s="28">
        <v>0</v>
      </c>
      <c r="AP184" s="28">
        <v>0</v>
      </c>
      <c r="AQ184">
        <v>0</v>
      </c>
      <c r="AR184">
        <v>0</v>
      </c>
      <c r="AS184">
        <v>0</v>
      </c>
      <c r="AT184">
        <v>0</v>
      </c>
    </row>
    <row r="185" spans="1:46" ht="15.75" x14ac:dyDescent="0.25">
      <c r="A185" t="s">
        <v>615</v>
      </c>
      <c r="B185" t="s">
        <v>616</v>
      </c>
      <c r="C185">
        <v>0</v>
      </c>
      <c r="D185">
        <v>0</v>
      </c>
      <c r="E185">
        <v>0</v>
      </c>
      <c r="F185">
        <v>4</v>
      </c>
      <c r="G185">
        <v>0</v>
      </c>
      <c r="H185">
        <v>0</v>
      </c>
      <c r="I185">
        <v>0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s="28">
        <v>0</v>
      </c>
      <c r="AJ185" s="28">
        <v>0</v>
      </c>
      <c r="AK185" s="28">
        <v>0</v>
      </c>
      <c r="AL185" s="28">
        <v>0</v>
      </c>
      <c r="AM185" s="28">
        <v>0</v>
      </c>
      <c r="AN185" s="28">
        <v>0</v>
      </c>
      <c r="AO185" s="28">
        <v>0</v>
      </c>
      <c r="AP185" s="28">
        <v>0</v>
      </c>
      <c r="AQ185">
        <v>0</v>
      </c>
      <c r="AR185">
        <v>0</v>
      </c>
      <c r="AS185">
        <v>0</v>
      </c>
      <c r="AT185">
        <v>0</v>
      </c>
    </row>
    <row r="186" spans="1:46" ht="15.75" x14ac:dyDescent="0.25">
      <c r="A186" t="s">
        <v>617</v>
      </c>
      <c r="B186" t="s">
        <v>618</v>
      </c>
      <c r="C186">
        <v>0</v>
      </c>
      <c r="D186">
        <v>0</v>
      </c>
      <c r="E186">
        <v>0</v>
      </c>
      <c r="F186">
        <v>3</v>
      </c>
      <c r="G186">
        <v>0</v>
      </c>
      <c r="H186">
        <v>0</v>
      </c>
      <c r="I186">
        <v>2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-2</v>
      </c>
      <c r="AD186">
        <v>0</v>
      </c>
      <c r="AE186">
        <v>0</v>
      </c>
      <c r="AF186">
        <v>0</v>
      </c>
      <c r="AG186">
        <v>0</v>
      </c>
      <c r="AH186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28">
        <v>0</v>
      </c>
      <c r="AO186" s="28">
        <v>0</v>
      </c>
      <c r="AP186" s="28">
        <v>0</v>
      </c>
      <c r="AQ186">
        <v>0</v>
      </c>
      <c r="AR186">
        <v>0</v>
      </c>
      <c r="AS186">
        <v>0</v>
      </c>
      <c r="AT186">
        <v>0</v>
      </c>
    </row>
    <row r="187" spans="1:46" ht="15.75" x14ac:dyDescent="0.25">
      <c r="A187" t="s">
        <v>619</v>
      </c>
      <c r="B187" t="s">
        <v>620</v>
      </c>
      <c r="C187">
        <v>0</v>
      </c>
      <c r="D187">
        <v>0</v>
      </c>
      <c r="E187">
        <v>0</v>
      </c>
      <c r="F187">
        <v>3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0</v>
      </c>
      <c r="AQ187">
        <v>0</v>
      </c>
      <c r="AR187">
        <v>0</v>
      </c>
      <c r="AS187">
        <v>0</v>
      </c>
      <c r="AT187">
        <v>0</v>
      </c>
    </row>
    <row r="188" spans="1:46" ht="15.75" x14ac:dyDescent="0.25">
      <c r="A188" t="s">
        <v>621</v>
      </c>
      <c r="B188" t="s">
        <v>622</v>
      </c>
      <c r="C188">
        <v>0</v>
      </c>
      <c r="D188">
        <v>0</v>
      </c>
      <c r="E188">
        <v>0</v>
      </c>
      <c r="F188">
        <v>2</v>
      </c>
      <c r="G188">
        <v>0</v>
      </c>
      <c r="H188">
        <v>0</v>
      </c>
      <c r="I188">
        <v>1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-1</v>
      </c>
      <c r="AD188">
        <v>0</v>
      </c>
      <c r="AE188">
        <v>0</v>
      </c>
      <c r="AF188">
        <v>0</v>
      </c>
      <c r="AG188">
        <v>0</v>
      </c>
      <c r="AH188">
        <v>0</v>
      </c>
      <c r="AI188" s="28">
        <v>0</v>
      </c>
      <c r="AJ188" s="28">
        <v>0</v>
      </c>
      <c r="AK188" s="28">
        <v>0</v>
      </c>
      <c r="AL188" s="28">
        <v>0</v>
      </c>
      <c r="AM188" s="28">
        <v>0</v>
      </c>
      <c r="AN188" s="28">
        <v>0</v>
      </c>
      <c r="AO188" s="28">
        <v>0</v>
      </c>
      <c r="AP188" s="28">
        <v>0</v>
      </c>
      <c r="AQ188">
        <v>0</v>
      </c>
      <c r="AR188">
        <v>0</v>
      </c>
      <c r="AS188">
        <v>0</v>
      </c>
      <c r="AT188">
        <v>0</v>
      </c>
    </row>
    <row r="189" spans="1:46" ht="15.75" x14ac:dyDescent="0.25">
      <c r="A189" t="s">
        <v>623</v>
      </c>
      <c r="B189" t="s">
        <v>624</v>
      </c>
      <c r="C189">
        <v>0</v>
      </c>
      <c r="D189">
        <v>0</v>
      </c>
      <c r="E189">
        <v>0</v>
      </c>
      <c r="F189">
        <v>2</v>
      </c>
      <c r="G189">
        <v>0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s="28">
        <v>0</v>
      </c>
      <c r="AJ189" s="28">
        <v>0</v>
      </c>
      <c r="AK189" s="28">
        <v>0</v>
      </c>
      <c r="AL189" s="28">
        <v>0</v>
      </c>
      <c r="AM189" s="28">
        <v>0</v>
      </c>
      <c r="AN189" s="28">
        <v>0</v>
      </c>
      <c r="AO189" s="28">
        <v>0</v>
      </c>
      <c r="AP189" s="28">
        <v>0</v>
      </c>
      <c r="AQ189">
        <v>0</v>
      </c>
      <c r="AR189">
        <v>0</v>
      </c>
      <c r="AS189">
        <v>0</v>
      </c>
      <c r="AT189">
        <v>0</v>
      </c>
    </row>
    <row r="190" spans="1:46" ht="15.75" x14ac:dyDescent="0.25">
      <c r="A190" t="s">
        <v>625</v>
      </c>
      <c r="B190" t="s">
        <v>626</v>
      </c>
      <c r="C190">
        <v>0</v>
      </c>
      <c r="D190">
        <v>0</v>
      </c>
      <c r="E190">
        <v>0</v>
      </c>
      <c r="F190">
        <v>2</v>
      </c>
      <c r="G190">
        <v>0</v>
      </c>
      <c r="H190">
        <v>0</v>
      </c>
      <c r="I190">
        <v>1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-1</v>
      </c>
      <c r="AD190">
        <v>0</v>
      </c>
      <c r="AE190">
        <v>0</v>
      </c>
      <c r="AF190">
        <v>0</v>
      </c>
      <c r="AG190">
        <v>0</v>
      </c>
      <c r="AH190">
        <v>0</v>
      </c>
      <c r="AI190" s="28">
        <v>0</v>
      </c>
      <c r="AJ190" s="28">
        <v>0</v>
      </c>
      <c r="AK190" s="28">
        <v>0</v>
      </c>
      <c r="AL190" s="28">
        <v>0</v>
      </c>
      <c r="AM190" s="28">
        <v>0</v>
      </c>
      <c r="AN190" s="28">
        <v>0</v>
      </c>
      <c r="AO190" s="28">
        <v>0</v>
      </c>
      <c r="AP190" s="28">
        <v>0</v>
      </c>
      <c r="AQ190">
        <v>0</v>
      </c>
      <c r="AR190">
        <v>0</v>
      </c>
      <c r="AS190">
        <v>0</v>
      </c>
      <c r="AT190">
        <v>0</v>
      </c>
    </row>
    <row r="191" spans="1:46" ht="15.75" x14ac:dyDescent="0.25">
      <c r="A191" t="s">
        <v>627</v>
      </c>
      <c r="B191" t="s">
        <v>628</v>
      </c>
      <c r="C191">
        <v>0</v>
      </c>
      <c r="D191">
        <v>0</v>
      </c>
      <c r="E191">
        <v>0</v>
      </c>
      <c r="F191">
        <v>2</v>
      </c>
      <c r="G191">
        <v>2</v>
      </c>
      <c r="H191">
        <v>0</v>
      </c>
      <c r="I191">
        <v>0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s="28">
        <v>0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>
        <v>0</v>
      </c>
      <c r="AR191">
        <v>0</v>
      </c>
      <c r="AS191">
        <v>0</v>
      </c>
      <c r="AT191">
        <v>0</v>
      </c>
    </row>
    <row r="192" spans="1:46" ht="15.75" x14ac:dyDescent="0.25">
      <c r="A192" t="s">
        <v>629</v>
      </c>
      <c r="B192" t="s">
        <v>630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>
        <v>0</v>
      </c>
      <c r="AR192">
        <v>0</v>
      </c>
      <c r="AS192">
        <v>0</v>
      </c>
      <c r="AT192">
        <v>0</v>
      </c>
    </row>
    <row r="193" spans="1:46" ht="15.75" x14ac:dyDescent="0.25">
      <c r="A193" t="s">
        <v>631</v>
      </c>
      <c r="B193" t="s">
        <v>632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1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-1</v>
      </c>
      <c r="AD193">
        <v>1</v>
      </c>
      <c r="AE193">
        <v>0</v>
      </c>
      <c r="AF193">
        <v>0</v>
      </c>
      <c r="AG193">
        <v>0</v>
      </c>
      <c r="AH193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>
        <v>0</v>
      </c>
      <c r="AR193">
        <v>0</v>
      </c>
      <c r="AS193">
        <v>0</v>
      </c>
      <c r="AT193">
        <v>0</v>
      </c>
    </row>
    <row r="194" spans="1:46" ht="15.75" x14ac:dyDescent="0.25">
      <c r="A194" t="s">
        <v>633</v>
      </c>
      <c r="B194" t="s">
        <v>634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s="28">
        <v>0</v>
      </c>
      <c r="AJ194" s="28">
        <v>0</v>
      </c>
      <c r="AK194" s="28">
        <v>0</v>
      </c>
      <c r="AL194" s="28">
        <v>0</v>
      </c>
      <c r="AM194" s="28">
        <v>0</v>
      </c>
      <c r="AN194" s="28">
        <v>0</v>
      </c>
      <c r="AO194" s="28">
        <v>0</v>
      </c>
      <c r="AP194" s="28">
        <v>0</v>
      </c>
      <c r="AQ194">
        <v>0</v>
      </c>
      <c r="AR194">
        <v>0</v>
      </c>
      <c r="AS194">
        <v>0</v>
      </c>
      <c r="AT194">
        <v>0</v>
      </c>
    </row>
    <row r="195" spans="1:46" ht="15.75" x14ac:dyDescent="0.25">
      <c r="A195" t="s">
        <v>635</v>
      </c>
      <c r="B195" t="s">
        <v>636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1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-1</v>
      </c>
      <c r="AD195">
        <v>0</v>
      </c>
      <c r="AE195">
        <v>0</v>
      </c>
      <c r="AF195">
        <v>0</v>
      </c>
      <c r="AG195">
        <v>0</v>
      </c>
      <c r="AH195">
        <v>-1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0</v>
      </c>
      <c r="AO195" s="28">
        <v>0</v>
      </c>
      <c r="AP195" s="28">
        <v>0</v>
      </c>
      <c r="AQ195">
        <v>0</v>
      </c>
      <c r="AR195">
        <v>0</v>
      </c>
      <c r="AS195">
        <v>0</v>
      </c>
      <c r="AT195">
        <v>0</v>
      </c>
    </row>
    <row r="196" spans="1:46" ht="15.75" x14ac:dyDescent="0.25">
      <c r="A196" t="s">
        <v>637</v>
      </c>
      <c r="B196" t="s">
        <v>638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1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-1</v>
      </c>
      <c r="AD196">
        <v>0</v>
      </c>
      <c r="AE196">
        <v>0</v>
      </c>
      <c r="AF196">
        <v>0</v>
      </c>
      <c r="AG196">
        <v>0</v>
      </c>
      <c r="AH196">
        <v>0</v>
      </c>
      <c r="AI196" s="28">
        <v>0</v>
      </c>
      <c r="AJ196" s="28">
        <v>0</v>
      </c>
      <c r="AK196" s="28">
        <v>0</v>
      </c>
      <c r="AL196" s="28">
        <v>0</v>
      </c>
      <c r="AM196" s="28">
        <v>0</v>
      </c>
      <c r="AN196" s="28">
        <v>0</v>
      </c>
      <c r="AO196" s="28">
        <v>0</v>
      </c>
      <c r="AP196" s="28">
        <v>0</v>
      </c>
      <c r="AQ196">
        <v>0</v>
      </c>
      <c r="AR196">
        <v>0</v>
      </c>
      <c r="AS196">
        <v>0</v>
      </c>
      <c r="AT196">
        <v>0</v>
      </c>
    </row>
    <row r="197" spans="1:46" ht="15.75" x14ac:dyDescent="0.25">
      <c r="A197" t="s">
        <v>639</v>
      </c>
      <c r="B197" t="s">
        <v>640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2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-2</v>
      </c>
      <c r="AD197">
        <v>1</v>
      </c>
      <c r="AE197">
        <v>0</v>
      </c>
      <c r="AF197">
        <v>0</v>
      </c>
      <c r="AG197">
        <v>0</v>
      </c>
      <c r="AH197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0</v>
      </c>
      <c r="AQ197">
        <v>0</v>
      </c>
      <c r="AR197">
        <v>0</v>
      </c>
      <c r="AS197">
        <v>0</v>
      </c>
      <c r="AT197">
        <v>0</v>
      </c>
    </row>
    <row r="198" spans="1:46" ht="15.75" x14ac:dyDescent="0.25">
      <c r="A198" t="s">
        <v>641</v>
      </c>
      <c r="B198" t="s">
        <v>642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s="28">
        <v>0</v>
      </c>
      <c r="AJ198" s="28">
        <v>0</v>
      </c>
      <c r="AK198" s="28">
        <v>0</v>
      </c>
      <c r="AL198" s="28">
        <v>0</v>
      </c>
      <c r="AM198" s="28">
        <v>0</v>
      </c>
      <c r="AN198" s="28">
        <v>0</v>
      </c>
      <c r="AO198" s="28">
        <v>0</v>
      </c>
      <c r="AP198" s="28">
        <v>0</v>
      </c>
      <c r="AQ198">
        <v>0</v>
      </c>
      <c r="AR198">
        <v>0</v>
      </c>
      <c r="AS198">
        <v>0</v>
      </c>
      <c r="AT198">
        <v>0</v>
      </c>
    </row>
    <row r="199" spans="1:46" ht="15.75" x14ac:dyDescent="0.25">
      <c r="A199" t="s">
        <v>643</v>
      </c>
      <c r="B199" t="s">
        <v>644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>
        <v>0</v>
      </c>
      <c r="AR199">
        <v>0</v>
      </c>
      <c r="AS199">
        <v>0</v>
      </c>
      <c r="AT199">
        <v>0</v>
      </c>
    </row>
    <row r="200" spans="1:46" ht="15.75" x14ac:dyDescent="0.25">
      <c r="A200" t="s">
        <v>645</v>
      </c>
      <c r="B200" t="s">
        <v>646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-1</v>
      </c>
      <c r="AD200">
        <v>1</v>
      </c>
      <c r="AE200">
        <v>0</v>
      </c>
      <c r="AF200">
        <v>0</v>
      </c>
      <c r="AG200">
        <v>0</v>
      </c>
      <c r="AH200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>
        <v>0</v>
      </c>
      <c r="AR200">
        <v>0</v>
      </c>
      <c r="AS200">
        <v>0</v>
      </c>
      <c r="AT200">
        <v>0</v>
      </c>
    </row>
    <row r="201" spans="1:46" ht="15.75" x14ac:dyDescent="0.25">
      <c r="A201" t="s">
        <v>647</v>
      </c>
      <c r="B201" t="s">
        <v>648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2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-2</v>
      </c>
      <c r="AD201">
        <v>1</v>
      </c>
      <c r="AE201">
        <v>0</v>
      </c>
      <c r="AF201">
        <v>0</v>
      </c>
      <c r="AG201">
        <v>0</v>
      </c>
      <c r="AH201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>
        <v>0</v>
      </c>
      <c r="AR201">
        <v>0</v>
      </c>
      <c r="AS201">
        <v>0</v>
      </c>
      <c r="AT201">
        <v>0</v>
      </c>
    </row>
    <row r="202" spans="1:46" ht="15.75" x14ac:dyDescent="0.25">
      <c r="A202" t="s">
        <v>649</v>
      </c>
      <c r="B202" t="s">
        <v>650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-1</v>
      </c>
      <c r="AD202">
        <v>0</v>
      </c>
      <c r="AE202">
        <v>0</v>
      </c>
      <c r="AF202">
        <v>0</v>
      </c>
      <c r="AG202">
        <v>0</v>
      </c>
      <c r="AH202">
        <v>0</v>
      </c>
      <c r="AI202" s="28">
        <v>0</v>
      </c>
      <c r="AJ202" s="28">
        <v>0</v>
      </c>
      <c r="AK202" s="28">
        <v>0</v>
      </c>
      <c r="AL202" s="28">
        <v>0</v>
      </c>
      <c r="AM202" s="28">
        <v>0</v>
      </c>
      <c r="AN202" s="28">
        <v>0</v>
      </c>
      <c r="AO202" s="28">
        <v>0</v>
      </c>
      <c r="AP202" s="28">
        <v>0</v>
      </c>
      <c r="AQ202">
        <v>0</v>
      </c>
      <c r="AR202">
        <v>0</v>
      </c>
      <c r="AS202">
        <v>0</v>
      </c>
      <c r="AT202">
        <v>0</v>
      </c>
    </row>
    <row r="203" spans="1:46" ht="15.75" x14ac:dyDescent="0.25">
      <c r="A203" t="s">
        <v>651</v>
      </c>
      <c r="B203" t="s">
        <v>652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-2</v>
      </c>
      <c r="AD203">
        <v>0</v>
      </c>
      <c r="AE203">
        <v>0</v>
      </c>
      <c r="AF203">
        <v>0</v>
      </c>
      <c r="AG203">
        <v>0</v>
      </c>
      <c r="AH203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>
        <v>0</v>
      </c>
      <c r="AR203">
        <v>0</v>
      </c>
      <c r="AS203">
        <v>0</v>
      </c>
      <c r="AT203">
        <v>0</v>
      </c>
    </row>
    <row r="204" spans="1:46" ht="15.75" x14ac:dyDescent="0.25">
      <c r="A204" t="s">
        <v>653</v>
      </c>
      <c r="B204" t="s">
        <v>654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2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-2</v>
      </c>
      <c r="AD204">
        <v>0</v>
      </c>
      <c r="AE204">
        <v>0</v>
      </c>
      <c r="AF204">
        <v>0</v>
      </c>
      <c r="AG204">
        <v>0</v>
      </c>
      <c r="AH204">
        <v>0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>
        <v>0</v>
      </c>
      <c r="AR204">
        <v>0</v>
      </c>
      <c r="AS204">
        <v>0</v>
      </c>
      <c r="AT204">
        <v>0</v>
      </c>
    </row>
    <row r="205" spans="1:46" ht="15.75" x14ac:dyDescent="0.25">
      <c r="A205" t="s">
        <v>655</v>
      </c>
      <c r="B205" t="s">
        <v>656</v>
      </c>
      <c r="C205">
        <v>0</v>
      </c>
      <c r="D205">
        <v>-1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 s="28">
        <v>0</v>
      </c>
      <c r="AJ205" s="28">
        <v>0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>
        <v>0</v>
      </c>
      <c r="AR205">
        <v>0</v>
      </c>
      <c r="AS205">
        <v>0</v>
      </c>
      <c r="AT205">
        <v>0</v>
      </c>
    </row>
    <row r="206" spans="1:46" ht="15.75" x14ac:dyDescent="0.25">
      <c r="A206" t="s">
        <v>657</v>
      </c>
      <c r="B206" t="s">
        <v>658</v>
      </c>
      <c r="C206">
        <v>0</v>
      </c>
      <c r="D206">
        <v>0</v>
      </c>
      <c r="E206">
        <v>0</v>
      </c>
      <c r="F206">
        <v>7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0</v>
      </c>
      <c r="AQ206">
        <v>0</v>
      </c>
      <c r="AR206">
        <v>0</v>
      </c>
      <c r="AS206">
        <v>0</v>
      </c>
      <c r="AT206">
        <v>0</v>
      </c>
    </row>
    <row r="207" spans="1:46" ht="15.75" x14ac:dyDescent="0.25">
      <c r="A207" t="s">
        <v>659</v>
      </c>
      <c r="B207" t="s">
        <v>660</v>
      </c>
      <c r="C207">
        <v>0</v>
      </c>
      <c r="D207">
        <v>-1</v>
      </c>
      <c r="E207">
        <v>-3</v>
      </c>
      <c r="F207">
        <v>4</v>
      </c>
      <c r="G207">
        <v>0</v>
      </c>
      <c r="H207">
        <v>-1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-2</v>
      </c>
      <c r="AC207">
        <v>3</v>
      </c>
      <c r="AD207">
        <v>3</v>
      </c>
      <c r="AE207">
        <v>0</v>
      </c>
      <c r="AF207">
        <v>0</v>
      </c>
      <c r="AG207">
        <v>0</v>
      </c>
      <c r="AH207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>
        <v>0</v>
      </c>
      <c r="AR207">
        <v>-1</v>
      </c>
      <c r="AS207">
        <v>0</v>
      </c>
      <c r="AT207">
        <v>0</v>
      </c>
    </row>
    <row r="208" spans="1:46" ht="15.75" x14ac:dyDescent="0.25">
      <c r="A208" t="s">
        <v>661</v>
      </c>
      <c r="B208" t="s">
        <v>662</v>
      </c>
      <c r="C208">
        <v>0</v>
      </c>
      <c r="D208">
        <v>0</v>
      </c>
      <c r="E208">
        <v>0</v>
      </c>
      <c r="F208">
        <v>3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-1</v>
      </c>
      <c r="AD208">
        <v>0</v>
      </c>
      <c r="AE208">
        <v>0</v>
      </c>
      <c r="AF208">
        <v>0</v>
      </c>
      <c r="AG208">
        <v>0</v>
      </c>
      <c r="AH20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>
        <v>0</v>
      </c>
      <c r="AR208">
        <v>0</v>
      </c>
      <c r="AS208">
        <v>0</v>
      </c>
      <c r="AT208">
        <v>0</v>
      </c>
    </row>
    <row r="209" spans="1:46" ht="15.75" x14ac:dyDescent="0.25">
      <c r="A209" t="s">
        <v>663</v>
      </c>
      <c r="B209" t="s">
        <v>664</v>
      </c>
      <c r="C209">
        <v>0</v>
      </c>
      <c r="D209">
        <v>0</v>
      </c>
      <c r="E209">
        <v>0</v>
      </c>
      <c r="F209">
        <v>3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-1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>
        <v>0</v>
      </c>
      <c r="AR209">
        <v>0</v>
      </c>
      <c r="AS209">
        <v>0</v>
      </c>
      <c r="AT209">
        <v>0</v>
      </c>
    </row>
    <row r="210" spans="1:46" ht="15.75" x14ac:dyDescent="0.25">
      <c r="A210" t="s">
        <v>665</v>
      </c>
      <c r="B210" t="s">
        <v>666</v>
      </c>
      <c r="C210">
        <v>0</v>
      </c>
      <c r="D210">
        <v>-1</v>
      </c>
      <c r="E210">
        <v>0</v>
      </c>
      <c r="F210">
        <v>3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s="28">
        <v>0</v>
      </c>
      <c r="AJ210" s="28">
        <v>0</v>
      </c>
      <c r="AK210" s="28">
        <v>0</v>
      </c>
      <c r="AL210" s="28">
        <v>0</v>
      </c>
      <c r="AM210" s="28">
        <v>0</v>
      </c>
      <c r="AN210" s="28">
        <v>0</v>
      </c>
      <c r="AO210" s="28">
        <v>0</v>
      </c>
      <c r="AP210" s="28">
        <v>0</v>
      </c>
      <c r="AQ210">
        <v>0</v>
      </c>
      <c r="AR210">
        <v>0</v>
      </c>
      <c r="AS210">
        <v>0</v>
      </c>
      <c r="AT210">
        <v>0</v>
      </c>
    </row>
    <row r="211" spans="1:46" ht="15.75" x14ac:dyDescent="0.25">
      <c r="A211" t="s">
        <v>667</v>
      </c>
      <c r="B211" t="s">
        <v>668</v>
      </c>
      <c r="C211">
        <v>0</v>
      </c>
      <c r="D211">
        <v>0</v>
      </c>
      <c r="E211">
        <v>0</v>
      </c>
      <c r="F211">
        <v>3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s="28">
        <v>0</v>
      </c>
      <c r="AJ211" s="28">
        <v>0</v>
      </c>
      <c r="AK211" s="28">
        <v>0</v>
      </c>
      <c r="AL211" s="28">
        <v>0</v>
      </c>
      <c r="AM211" s="28">
        <v>0</v>
      </c>
      <c r="AN211" s="28">
        <v>0</v>
      </c>
      <c r="AO211" s="28">
        <v>0</v>
      </c>
      <c r="AP211" s="28">
        <v>0</v>
      </c>
      <c r="AQ211">
        <v>0</v>
      </c>
      <c r="AR211">
        <v>0</v>
      </c>
      <c r="AS211">
        <v>0</v>
      </c>
      <c r="AT211">
        <v>0</v>
      </c>
    </row>
    <row r="212" spans="1:46" ht="15.75" x14ac:dyDescent="0.25">
      <c r="A212" t="s">
        <v>669</v>
      </c>
      <c r="B212" t="s">
        <v>670</v>
      </c>
      <c r="C212">
        <v>0</v>
      </c>
      <c r="D212">
        <v>0</v>
      </c>
      <c r="E212">
        <v>0</v>
      </c>
      <c r="F212">
        <v>3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>
        <v>0</v>
      </c>
      <c r="AR212">
        <v>0</v>
      </c>
      <c r="AS212">
        <v>0</v>
      </c>
      <c r="AT212">
        <v>0</v>
      </c>
    </row>
    <row r="213" spans="1:46" ht="15.75" x14ac:dyDescent="0.25">
      <c r="A213" t="s">
        <v>671</v>
      </c>
      <c r="B213" t="s">
        <v>672</v>
      </c>
      <c r="C213">
        <v>0</v>
      </c>
      <c r="D213">
        <v>0</v>
      </c>
      <c r="E213">
        <v>0</v>
      </c>
      <c r="F213">
        <v>3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</v>
      </c>
      <c r="AE213">
        <v>0</v>
      </c>
      <c r="AF213">
        <v>0</v>
      </c>
      <c r="AG213">
        <v>0</v>
      </c>
      <c r="AH213">
        <v>0</v>
      </c>
      <c r="AI213" s="28">
        <v>0</v>
      </c>
      <c r="AJ213" s="28">
        <v>0</v>
      </c>
      <c r="AK213" s="28">
        <v>0</v>
      </c>
      <c r="AL213" s="28">
        <v>0</v>
      </c>
      <c r="AM213" s="28">
        <v>0</v>
      </c>
      <c r="AN213" s="28">
        <v>0</v>
      </c>
      <c r="AO213" s="28">
        <v>0</v>
      </c>
      <c r="AP213" s="28">
        <v>0</v>
      </c>
      <c r="AQ213">
        <v>0</v>
      </c>
      <c r="AR213">
        <v>0</v>
      </c>
      <c r="AS213">
        <v>0</v>
      </c>
      <c r="AT213">
        <v>0</v>
      </c>
    </row>
    <row r="214" spans="1:46" ht="15.75" x14ac:dyDescent="0.25">
      <c r="A214" t="s">
        <v>673</v>
      </c>
      <c r="B214" t="s">
        <v>674</v>
      </c>
      <c r="C214">
        <v>2</v>
      </c>
      <c r="D214">
        <v>0</v>
      </c>
      <c r="E214">
        <v>0</v>
      </c>
      <c r="F214">
        <v>3</v>
      </c>
      <c r="G214">
        <v>0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-1</v>
      </c>
      <c r="AD214">
        <v>0</v>
      </c>
      <c r="AE214">
        <v>0</v>
      </c>
      <c r="AF214">
        <v>0</v>
      </c>
      <c r="AG214">
        <v>0</v>
      </c>
      <c r="AH214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>
        <v>0</v>
      </c>
      <c r="AR214">
        <v>0</v>
      </c>
      <c r="AS214">
        <v>0</v>
      </c>
      <c r="AT214">
        <v>0</v>
      </c>
    </row>
    <row r="215" spans="1:46" ht="15.75" x14ac:dyDescent="0.25">
      <c r="A215" t="s">
        <v>675</v>
      </c>
      <c r="B215" t="s">
        <v>676</v>
      </c>
      <c r="C215">
        <v>0</v>
      </c>
      <c r="D215">
        <v>0</v>
      </c>
      <c r="E215">
        <v>0</v>
      </c>
      <c r="F215">
        <v>2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0</v>
      </c>
      <c r="AQ215">
        <v>0</v>
      </c>
      <c r="AR215">
        <v>0</v>
      </c>
      <c r="AS215">
        <v>0</v>
      </c>
      <c r="AT215">
        <v>0</v>
      </c>
    </row>
    <row r="216" spans="1:46" ht="15.75" x14ac:dyDescent="0.25">
      <c r="A216" t="s">
        <v>677</v>
      </c>
      <c r="B216" t="s">
        <v>678</v>
      </c>
      <c r="C216">
        <v>0</v>
      </c>
      <c r="D216">
        <v>0</v>
      </c>
      <c r="E216">
        <v>0</v>
      </c>
      <c r="F216">
        <v>2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-1</v>
      </c>
      <c r="AD216">
        <v>1</v>
      </c>
      <c r="AE216">
        <v>0</v>
      </c>
      <c r="AF216">
        <v>0</v>
      </c>
      <c r="AG216">
        <v>0</v>
      </c>
      <c r="AH216">
        <v>0</v>
      </c>
      <c r="AI216" s="28">
        <v>0</v>
      </c>
      <c r="AJ216" s="28">
        <v>0</v>
      </c>
      <c r="AK216" s="28">
        <v>0</v>
      </c>
      <c r="AL216" s="28">
        <v>0</v>
      </c>
      <c r="AM216" s="28">
        <v>0</v>
      </c>
      <c r="AN216" s="28">
        <v>0</v>
      </c>
      <c r="AO216" s="28">
        <v>0</v>
      </c>
      <c r="AP216" s="28">
        <v>0</v>
      </c>
      <c r="AQ216">
        <v>0</v>
      </c>
      <c r="AR216">
        <v>0</v>
      </c>
      <c r="AS216">
        <v>0</v>
      </c>
      <c r="AT216">
        <v>0</v>
      </c>
    </row>
    <row r="217" spans="1:46" ht="15.75" x14ac:dyDescent="0.25">
      <c r="A217" t="s">
        <v>679</v>
      </c>
      <c r="B217" t="s">
        <v>680</v>
      </c>
      <c r="C217">
        <v>0</v>
      </c>
      <c r="D217">
        <v>0</v>
      </c>
      <c r="E217">
        <v>0</v>
      </c>
      <c r="F217">
        <v>2</v>
      </c>
      <c r="G217">
        <v>0</v>
      </c>
      <c r="H217">
        <v>0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-1</v>
      </c>
      <c r="AD217">
        <v>0</v>
      </c>
      <c r="AE217">
        <v>0</v>
      </c>
      <c r="AF217">
        <v>0</v>
      </c>
      <c r="AG217">
        <v>0</v>
      </c>
      <c r="AH217">
        <v>0</v>
      </c>
      <c r="AI217" s="28">
        <v>0</v>
      </c>
      <c r="AJ217" s="28">
        <v>0</v>
      </c>
      <c r="AK217" s="28">
        <v>0</v>
      </c>
      <c r="AL217" s="28">
        <v>0</v>
      </c>
      <c r="AM217" s="28">
        <v>0</v>
      </c>
      <c r="AN217" s="28">
        <v>0</v>
      </c>
      <c r="AO217" s="28">
        <v>0</v>
      </c>
      <c r="AP217" s="28">
        <v>0</v>
      </c>
      <c r="AQ217">
        <v>0</v>
      </c>
      <c r="AR217">
        <v>0</v>
      </c>
      <c r="AS217">
        <v>0</v>
      </c>
      <c r="AT217">
        <v>0</v>
      </c>
    </row>
    <row r="218" spans="1:46" ht="15.75" x14ac:dyDescent="0.25">
      <c r="A218" t="s">
        <v>681</v>
      </c>
      <c r="B218" t="s">
        <v>682</v>
      </c>
      <c r="C218">
        <v>0</v>
      </c>
      <c r="D218">
        <v>0</v>
      </c>
      <c r="E218">
        <v>0</v>
      </c>
      <c r="F218">
        <v>2</v>
      </c>
      <c r="G218">
        <v>0</v>
      </c>
      <c r="H218">
        <v>0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-1</v>
      </c>
      <c r="AD218">
        <v>1</v>
      </c>
      <c r="AE218">
        <v>0</v>
      </c>
      <c r="AF218">
        <v>0</v>
      </c>
      <c r="AG218">
        <v>0</v>
      </c>
      <c r="AH21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>
        <v>0</v>
      </c>
      <c r="AR218">
        <v>0</v>
      </c>
      <c r="AS218">
        <v>0</v>
      </c>
      <c r="AT218">
        <v>0</v>
      </c>
    </row>
    <row r="219" spans="1:46" ht="15.75" x14ac:dyDescent="0.25">
      <c r="A219" t="s">
        <v>683</v>
      </c>
      <c r="B219" t="s">
        <v>684</v>
      </c>
      <c r="C219">
        <v>0</v>
      </c>
      <c r="D219">
        <v>0</v>
      </c>
      <c r="E219">
        <v>0</v>
      </c>
      <c r="F219">
        <v>2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s="28">
        <v>0</v>
      </c>
      <c r="AJ219" s="28">
        <v>0</v>
      </c>
      <c r="AK219" s="28">
        <v>0</v>
      </c>
      <c r="AL219" s="28">
        <v>0</v>
      </c>
      <c r="AM219" s="28">
        <v>0</v>
      </c>
      <c r="AN219" s="28">
        <v>0</v>
      </c>
      <c r="AO219" s="28">
        <v>0</v>
      </c>
      <c r="AP219" s="28">
        <v>0</v>
      </c>
      <c r="AQ219">
        <v>0</v>
      </c>
      <c r="AR219">
        <v>0</v>
      </c>
      <c r="AS219">
        <v>0</v>
      </c>
      <c r="AT219">
        <v>0</v>
      </c>
    </row>
    <row r="220" spans="1:46" ht="15.75" x14ac:dyDescent="0.25">
      <c r="A220" t="s">
        <v>685</v>
      </c>
      <c r="B220" t="s">
        <v>686</v>
      </c>
      <c r="C220">
        <v>0</v>
      </c>
      <c r="D220">
        <v>0</v>
      </c>
      <c r="E220">
        <v>0</v>
      </c>
      <c r="F220">
        <v>2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s="28">
        <v>0</v>
      </c>
      <c r="AJ220" s="28">
        <v>0</v>
      </c>
      <c r="AK220" s="28">
        <v>0</v>
      </c>
      <c r="AL220" s="28">
        <v>0</v>
      </c>
      <c r="AM220" s="28">
        <v>0</v>
      </c>
      <c r="AN220" s="28">
        <v>0</v>
      </c>
      <c r="AO220" s="28">
        <v>0</v>
      </c>
      <c r="AP220" s="28">
        <v>0</v>
      </c>
      <c r="AQ220">
        <v>0</v>
      </c>
      <c r="AR220">
        <v>0</v>
      </c>
      <c r="AS220">
        <v>0</v>
      </c>
      <c r="AT220">
        <v>0</v>
      </c>
    </row>
    <row r="221" spans="1:46" ht="15.75" x14ac:dyDescent="0.25">
      <c r="A221" t="s">
        <v>687</v>
      </c>
      <c r="B221" t="s">
        <v>688</v>
      </c>
      <c r="C221">
        <v>0</v>
      </c>
      <c r="D221">
        <v>0</v>
      </c>
      <c r="E221">
        <v>0</v>
      </c>
      <c r="F221">
        <v>2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-1</v>
      </c>
      <c r="AD221">
        <v>0</v>
      </c>
      <c r="AE221">
        <v>0</v>
      </c>
      <c r="AF221">
        <v>0</v>
      </c>
      <c r="AG221">
        <v>0</v>
      </c>
      <c r="AH221">
        <v>0</v>
      </c>
      <c r="AI221" s="28">
        <v>0</v>
      </c>
      <c r="AJ221" s="28">
        <v>0</v>
      </c>
      <c r="AK221" s="28">
        <v>0</v>
      </c>
      <c r="AL221" s="28">
        <v>0</v>
      </c>
      <c r="AM221" s="28">
        <v>0</v>
      </c>
      <c r="AN221" s="28">
        <v>0</v>
      </c>
      <c r="AO221" s="28">
        <v>0</v>
      </c>
      <c r="AP221" s="28">
        <v>0</v>
      </c>
      <c r="AQ221">
        <v>0</v>
      </c>
      <c r="AR221">
        <v>0</v>
      </c>
      <c r="AS221">
        <v>0</v>
      </c>
      <c r="AT221">
        <v>0</v>
      </c>
    </row>
    <row r="222" spans="1:46" ht="15.75" x14ac:dyDescent="0.25">
      <c r="A222" t="s">
        <v>689</v>
      </c>
      <c r="B222" t="s">
        <v>690</v>
      </c>
      <c r="C222">
        <v>0</v>
      </c>
      <c r="D222">
        <v>0</v>
      </c>
      <c r="E222">
        <v>0</v>
      </c>
      <c r="F222">
        <v>2</v>
      </c>
      <c r="G222">
        <v>0</v>
      </c>
      <c r="H222">
        <v>0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-1</v>
      </c>
      <c r="AD222">
        <v>1</v>
      </c>
      <c r="AE222">
        <v>0</v>
      </c>
      <c r="AF222">
        <v>0</v>
      </c>
      <c r="AG222">
        <v>0</v>
      </c>
      <c r="AH222">
        <v>0</v>
      </c>
      <c r="AI222" s="28">
        <v>0</v>
      </c>
      <c r="AJ222" s="28">
        <v>0</v>
      </c>
      <c r="AK222" s="28">
        <v>0</v>
      </c>
      <c r="AL222" s="28">
        <v>0</v>
      </c>
      <c r="AM222" s="28">
        <v>0</v>
      </c>
      <c r="AN222" s="28">
        <v>0</v>
      </c>
      <c r="AO222" s="28">
        <v>0</v>
      </c>
      <c r="AP222" s="28">
        <v>0</v>
      </c>
      <c r="AQ222">
        <v>0</v>
      </c>
      <c r="AR222">
        <v>0</v>
      </c>
      <c r="AS222">
        <v>0</v>
      </c>
      <c r="AT222">
        <v>0</v>
      </c>
    </row>
    <row r="223" spans="1:46" ht="15.75" x14ac:dyDescent="0.25">
      <c r="A223" t="s">
        <v>691</v>
      </c>
      <c r="B223" t="s">
        <v>692</v>
      </c>
      <c r="C223">
        <v>0</v>
      </c>
      <c r="D223">
        <v>0</v>
      </c>
      <c r="E223">
        <v>0</v>
      </c>
      <c r="F223">
        <v>2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s="28">
        <v>0</v>
      </c>
      <c r="AJ223" s="28">
        <v>0</v>
      </c>
      <c r="AK223" s="28">
        <v>0</v>
      </c>
      <c r="AL223" s="28">
        <v>0</v>
      </c>
      <c r="AM223" s="28">
        <v>0</v>
      </c>
      <c r="AN223" s="28">
        <v>0</v>
      </c>
      <c r="AO223" s="28">
        <v>0</v>
      </c>
      <c r="AP223" s="28">
        <v>0</v>
      </c>
      <c r="AQ223">
        <v>0</v>
      </c>
      <c r="AR223">
        <v>0</v>
      </c>
      <c r="AS223">
        <v>0</v>
      </c>
      <c r="AT223">
        <v>0</v>
      </c>
    </row>
    <row r="224" spans="1:46" ht="15.75" x14ac:dyDescent="0.25">
      <c r="A224" t="s">
        <v>693</v>
      </c>
      <c r="B224" t="s">
        <v>694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s="28">
        <v>0</v>
      </c>
      <c r="AJ224" s="28">
        <v>0</v>
      </c>
      <c r="AK224" s="28">
        <v>0</v>
      </c>
      <c r="AL224" s="28">
        <v>0</v>
      </c>
      <c r="AM224" s="28">
        <v>0</v>
      </c>
      <c r="AN224" s="28">
        <v>0</v>
      </c>
      <c r="AO224" s="28">
        <v>0</v>
      </c>
      <c r="AP224" s="28">
        <v>0</v>
      </c>
      <c r="AQ224">
        <v>0</v>
      </c>
      <c r="AR224">
        <v>0</v>
      </c>
      <c r="AS224">
        <v>0</v>
      </c>
      <c r="AT224">
        <v>0</v>
      </c>
    </row>
    <row r="225" spans="1:46" ht="15.75" x14ac:dyDescent="0.25">
      <c r="A225" t="s">
        <v>695</v>
      </c>
      <c r="B225" t="s">
        <v>696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s="28">
        <v>0</v>
      </c>
      <c r="AJ225" s="28">
        <v>0</v>
      </c>
      <c r="AK225" s="28">
        <v>0</v>
      </c>
      <c r="AL225" s="28">
        <v>0</v>
      </c>
      <c r="AM225" s="28">
        <v>0</v>
      </c>
      <c r="AN225" s="28">
        <v>0</v>
      </c>
      <c r="AO225" s="28">
        <v>0</v>
      </c>
      <c r="AP225" s="28">
        <v>0</v>
      </c>
      <c r="AQ225">
        <v>0</v>
      </c>
      <c r="AR225">
        <v>0</v>
      </c>
      <c r="AS225">
        <v>0</v>
      </c>
      <c r="AT225">
        <v>0</v>
      </c>
    </row>
    <row r="226" spans="1:46" ht="15.75" x14ac:dyDescent="0.25">
      <c r="A226" t="s">
        <v>697</v>
      </c>
      <c r="B226" t="s">
        <v>698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s="28">
        <v>0</v>
      </c>
      <c r="AJ226" s="28">
        <v>0</v>
      </c>
      <c r="AK226" s="28">
        <v>0</v>
      </c>
      <c r="AL226" s="28">
        <v>0</v>
      </c>
      <c r="AM226" s="28">
        <v>0</v>
      </c>
      <c r="AN226" s="28">
        <v>0</v>
      </c>
      <c r="AO226" s="28">
        <v>0</v>
      </c>
      <c r="AP226" s="28">
        <v>0</v>
      </c>
      <c r="AQ226">
        <v>0</v>
      </c>
      <c r="AR226">
        <v>0</v>
      </c>
      <c r="AS226">
        <v>0</v>
      </c>
      <c r="AT226">
        <v>0</v>
      </c>
    </row>
    <row r="227" spans="1:46" ht="15.75" x14ac:dyDescent="0.25">
      <c r="A227" t="s">
        <v>699</v>
      </c>
      <c r="B227" t="s">
        <v>700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s="28">
        <v>0</v>
      </c>
      <c r="AJ227" s="28">
        <v>0</v>
      </c>
      <c r="AK227" s="28">
        <v>0</v>
      </c>
      <c r="AL227" s="28">
        <v>0</v>
      </c>
      <c r="AM227" s="28">
        <v>0</v>
      </c>
      <c r="AN227" s="28">
        <v>0</v>
      </c>
      <c r="AO227" s="28">
        <v>0</v>
      </c>
      <c r="AP227" s="28">
        <v>0</v>
      </c>
      <c r="AQ227">
        <v>0</v>
      </c>
      <c r="AR227">
        <v>0</v>
      </c>
      <c r="AS227">
        <v>0</v>
      </c>
      <c r="AT227">
        <v>0</v>
      </c>
    </row>
    <row r="228" spans="1:46" ht="15.75" x14ac:dyDescent="0.25">
      <c r="A228" t="s">
        <v>701</v>
      </c>
      <c r="B228" t="s">
        <v>702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s="28">
        <v>0</v>
      </c>
      <c r="AJ228" s="28">
        <v>0</v>
      </c>
      <c r="AK228" s="28">
        <v>0</v>
      </c>
      <c r="AL228" s="28">
        <v>0</v>
      </c>
      <c r="AM228" s="28">
        <v>0</v>
      </c>
      <c r="AN228" s="28">
        <v>0</v>
      </c>
      <c r="AO228" s="28">
        <v>0</v>
      </c>
      <c r="AP228" s="28">
        <v>0</v>
      </c>
      <c r="AQ228">
        <v>0</v>
      </c>
      <c r="AR228">
        <v>0</v>
      </c>
      <c r="AS228">
        <v>0</v>
      </c>
      <c r="AT228">
        <v>0</v>
      </c>
    </row>
    <row r="229" spans="1:46" ht="15.75" x14ac:dyDescent="0.25">
      <c r="A229" t="s">
        <v>703</v>
      </c>
      <c r="B229" t="s">
        <v>704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s="28">
        <v>0</v>
      </c>
      <c r="AJ229" s="28">
        <v>0</v>
      </c>
      <c r="AK229" s="28">
        <v>0</v>
      </c>
      <c r="AL229" s="28">
        <v>0</v>
      </c>
      <c r="AM229" s="28">
        <v>0</v>
      </c>
      <c r="AN229" s="28">
        <v>0</v>
      </c>
      <c r="AO229" s="28">
        <v>0</v>
      </c>
      <c r="AP229" s="28">
        <v>0</v>
      </c>
      <c r="AQ229">
        <v>0</v>
      </c>
      <c r="AR229">
        <v>0</v>
      </c>
      <c r="AS229">
        <v>0</v>
      </c>
      <c r="AT229">
        <v>0</v>
      </c>
    </row>
    <row r="230" spans="1:46" ht="15.75" x14ac:dyDescent="0.25">
      <c r="A230" t="s">
        <v>705</v>
      </c>
      <c r="B230" t="s">
        <v>706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s="28">
        <v>0</v>
      </c>
      <c r="AJ230" s="28">
        <v>0</v>
      </c>
      <c r="AK230" s="28">
        <v>0</v>
      </c>
      <c r="AL230" s="28">
        <v>0</v>
      </c>
      <c r="AM230" s="28">
        <v>0</v>
      </c>
      <c r="AN230" s="28">
        <v>0</v>
      </c>
      <c r="AO230" s="28">
        <v>0</v>
      </c>
      <c r="AP230" s="28">
        <v>0</v>
      </c>
      <c r="AQ230">
        <v>0</v>
      </c>
      <c r="AR230">
        <v>0</v>
      </c>
      <c r="AS230">
        <v>0</v>
      </c>
      <c r="AT230">
        <v>0</v>
      </c>
    </row>
    <row r="231" spans="1:46" ht="15.75" x14ac:dyDescent="0.25">
      <c r="A231" t="s">
        <v>707</v>
      </c>
      <c r="B231" t="s">
        <v>708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s="28">
        <v>0</v>
      </c>
      <c r="AJ231" s="28">
        <v>0</v>
      </c>
      <c r="AK231" s="28">
        <v>0</v>
      </c>
      <c r="AL231" s="28">
        <v>0</v>
      </c>
      <c r="AM231" s="28">
        <v>0</v>
      </c>
      <c r="AN231" s="28">
        <v>0</v>
      </c>
      <c r="AO231" s="28">
        <v>0</v>
      </c>
      <c r="AP231" s="28">
        <v>0</v>
      </c>
      <c r="AQ231">
        <v>0</v>
      </c>
      <c r="AR231">
        <v>0</v>
      </c>
      <c r="AS231">
        <v>0</v>
      </c>
      <c r="AT231">
        <v>0</v>
      </c>
    </row>
    <row r="232" spans="1:46" ht="15.75" x14ac:dyDescent="0.25">
      <c r="A232" t="s">
        <v>709</v>
      </c>
      <c r="B232" t="s">
        <v>710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s="28">
        <v>0</v>
      </c>
      <c r="AJ232" s="28">
        <v>0</v>
      </c>
      <c r="AK232" s="28">
        <v>0</v>
      </c>
      <c r="AL232" s="28">
        <v>0</v>
      </c>
      <c r="AM232" s="28">
        <v>0</v>
      </c>
      <c r="AN232" s="28">
        <v>0</v>
      </c>
      <c r="AO232" s="28">
        <v>0</v>
      </c>
      <c r="AP232" s="28">
        <v>0</v>
      </c>
      <c r="AQ232">
        <v>0</v>
      </c>
      <c r="AR232">
        <v>0</v>
      </c>
      <c r="AS232">
        <v>0</v>
      </c>
      <c r="AT232">
        <v>0</v>
      </c>
    </row>
    <row r="233" spans="1:46" ht="15.75" x14ac:dyDescent="0.25">
      <c r="A233" t="s">
        <v>711</v>
      </c>
      <c r="B233" t="s">
        <v>712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s="28">
        <v>0</v>
      </c>
      <c r="AJ233" s="28">
        <v>0</v>
      </c>
      <c r="AK233" s="28">
        <v>0</v>
      </c>
      <c r="AL233" s="28">
        <v>0</v>
      </c>
      <c r="AM233" s="28">
        <v>0</v>
      </c>
      <c r="AN233" s="28">
        <v>0</v>
      </c>
      <c r="AO233" s="28">
        <v>0</v>
      </c>
      <c r="AP233" s="28">
        <v>0</v>
      </c>
      <c r="AQ233">
        <v>0</v>
      </c>
      <c r="AR233">
        <v>0</v>
      </c>
      <c r="AS233">
        <v>0</v>
      </c>
      <c r="AT233">
        <v>0</v>
      </c>
    </row>
    <row r="234" spans="1:46" ht="15.75" x14ac:dyDescent="0.25">
      <c r="A234" t="s">
        <v>713</v>
      </c>
      <c r="B234" t="s">
        <v>714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-1</v>
      </c>
      <c r="AI234" s="28">
        <v>0</v>
      </c>
      <c r="AJ234" s="28">
        <v>0</v>
      </c>
      <c r="AK234" s="28">
        <v>0</v>
      </c>
      <c r="AL234" s="28">
        <v>0</v>
      </c>
      <c r="AM234" s="28">
        <v>0</v>
      </c>
      <c r="AN234" s="28">
        <v>0</v>
      </c>
      <c r="AO234" s="28">
        <v>0</v>
      </c>
      <c r="AP234" s="28">
        <v>0</v>
      </c>
      <c r="AQ234">
        <v>0</v>
      </c>
      <c r="AR234">
        <v>0</v>
      </c>
      <c r="AS234">
        <v>0</v>
      </c>
      <c r="AT234">
        <v>0</v>
      </c>
    </row>
    <row r="235" spans="1:46" ht="15.75" x14ac:dyDescent="0.25">
      <c r="A235" t="s">
        <v>715</v>
      </c>
      <c r="B235" t="s">
        <v>716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s="28">
        <v>0</v>
      </c>
      <c r="AJ235" s="28">
        <v>0</v>
      </c>
      <c r="AK235" s="28">
        <v>0</v>
      </c>
      <c r="AL235" s="28">
        <v>0</v>
      </c>
      <c r="AM235" s="28">
        <v>0</v>
      </c>
      <c r="AN235" s="28">
        <v>0</v>
      </c>
      <c r="AO235" s="28">
        <v>0</v>
      </c>
      <c r="AP235" s="28">
        <v>0</v>
      </c>
      <c r="AQ235">
        <v>0</v>
      </c>
      <c r="AR235">
        <v>0</v>
      </c>
      <c r="AS235">
        <v>0</v>
      </c>
      <c r="AT235">
        <v>0</v>
      </c>
    </row>
    <row r="236" spans="1:46" ht="15.75" x14ac:dyDescent="0.25">
      <c r="A236" t="s">
        <v>717</v>
      </c>
      <c r="B236" t="s">
        <v>718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s="28">
        <v>0</v>
      </c>
      <c r="AJ236" s="28">
        <v>0</v>
      </c>
      <c r="AK236" s="28">
        <v>0</v>
      </c>
      <c r="AL236" s="28">
        <v>0</v>
      </c>
      <c r="AM236" s="28">
        <v>0</v>
      </c>
      <c r="AN236" s="28">
        <v>0</v>
      </c>
      <c r="AO236" s="28">
        <v>0</v>
      </c>
      <c r="AP236" s="28">
        <v>0</v>
      </c>
      <c r="AQ236">
        <v>0</v>
      </c>
      <c r="AR236">
        <v>0</v>
      </c>
      <c r="AS236">
        <v>0</v>
      </c>
      <c r="AT236">
        <v>0</v>
      </c>
    </row>
    <row r="237" spans="1:46" ht="15.75" x14ac:dyDescent="0.25">
      <c r="A237" t="s">
        <v>719</v>
      </c>
      <c r="B237" t="s">
        <v>720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s="28">
        <v>0</v>
      </c>
      <c r="AJ237" s="28">
        <v>0</v>
      </c>
      <c r="AK237" s="28">
        <v>0</v>
      </c>
      <c r="AL237" s="28">
        <v>0</v>
      </c>
      <c r="AM237" s="28">
        <v>0</v>
      </c>
      <c r="AN237" s="28">
        <v>0</v>
      </c>
      <c r="AO237" s="28">
        <v>0</v>
      </c>
      <c r="AP237" s="28">
        <v>0</v>
      </c>
      <c r="AQ237">
        <v>0</v>
      </c>
      <c r="AR237">
        <v>0</v>
      </c>
      <c r="AS237">
        <v>0</v>
      </c>
      <c r="AT237">
        <v>0</v>
      </c>
    </row>
    <row r="238" spans="1:46" ht="15.75" x14ac:dyDescent="0.25">
      <c r="A238" t="s">
        <v>721</v>
      </c>
      <c r="B238" t="s">
        <v>722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-1</v>
      </c>
      <c r="AD238">
        <v>0</v>
      </c>
      <c r="AE238">
        <v>0</v>
      </c>
      <c r="AF238">
        <v>0</v>
      </c>
      <c r="AG238">
        <v>0</v>
      </c>
      <c r="AH238">
        <v>0</v>
      </c>
      <c r="AI238" s="28">
        <v>0</v>
      </c>
      <c r="AJ238" s="28">
        <v>0</v>
      </c>
      <c r="AK238" s="28">
        <v>0</v>
      </c>
      <c r="AL238" s="28">
        <v>0</v>
      </c>
      <c r="AM238" s="28">
        <v>0</v>
      </c>
      <c r="AN238" s="28">
        <v>0</v>
      </c>
      <c r="AO238" s="28">
        <v>0</v>
      </c>
      <c r="AP238" s="28">
        <v>0</v>
      </c>
      <c r="AQ238">
        <v>0</v>
      </c>
      <c r="AR238">
        <v>0</v>
      </c>
      <c r="AS238">
        <v>0</v>
      </c>
      <c r="AT238">
        <v>0</v>
      </c>
    </row>
    <row r="239" spans="1:46" ht="15.75" x14ac:dyDescent="0.25">
      <c r="A239" t="s">
        <v>723</v>
      </c>
      <c r="B239" t="s">
        <v>724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-1</v>
      </c>
      <c r="AD239">
        <v>0</v>
      </c>
      <c r="AE239">
        <v>0</v>
      </c>
      <c r="AF239">
        <v>0</v>
      </c>
      <c r="AG239">
        <v>0</v>
      </c>
      <c r="AH239">
        <v>0</v>
      </c>
      <c r="AI239" s="28">
        <v>0</v>
      </c>
      <c r="AJ239" s="28">
        <v>0</v>
      </c>
      <c r="AK239" s="28">
        <v>0</v>
      </c>
      <c r="AL239" s="28">
        <v>0</v>
      </c>
      <c r="AM239" s="28">
        <v>0</v>
      </c>
      <c r="AN239" s="28">
        <v>0</v>
      </c>
      <c r="AO239" s="28">
        <v>0</v>
      </c>
      <c r="AP239" s="28">
        <v>0</v>
      </c>
      <c r="AQ239">
        <v>0</v>
      </c>
      <c r="AR239">
        <v>0</v>
      </c>
      <c r="AS239">
        <v>0</v>
      </c>
      <c r="AT239">
        <v>0</v>
      </c>
    </row>
    <row r="240" spans="1:46" ht="15.75" x14ac:dyDescent="0.25">
      <c r="A240" t="s">
        <v>725</v>
      </c>
      <c r="B240" t="s">
        <v>726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-1</v>
      </c>
      <c r="AD240">
        <v>0</v>
      </c>
      <c r="AE240">
        <v>0</v>
      </c>
      <c r="AF240">
        <v>0</v>
      </c>
      <c r="AG240">
        <v>0</v>
      </c>
      <c r="AH240">
        <v>-1</v>
      </c>
      <c r="AI240" s="28">
        <v>0</v>
      </c>
      <c r="AJ240" s="28">
        <v>0</v>
      </c>
      <c r="AK240" s="28">
        <v>0</v>
      </c>
      <c r="AL240" s="28">
        <v>0</v>
      </c>
      <c r="AM240" s="28">
        <v>0</v>
      </c>
      <c r="AN240" s="28">
        <v>0</v>
      </c>
      <c r="AO240" s="28">
        <v>0</v>
      </c>
      <c r="AP240" s="28">
        <v>0</v>
      </c>
      <c r="AQ240">
        <v>0</v>
      </c>
      <c r="AR240">
        <v>0</v>
      </c>
      <c r="AS240">
        <v>0</v>
      </c>
      <c r="AT240">
        <v>0</v>
      </c>
    </row>
    <row r="241" spans="1:46" ht="15.75" x14ac:dyDescent="0.25">
      <c r="A241" t="s">
        <v>727</v>
      </c>
      <c r="B241" t="s">
        <v>728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s="28">
        <v>0</v>
      </c>
      <c r="AJ241" s="28">
        <v>0</v>
      </c>
      <c r="AK241" s="28">
        <v>0</v>
      </c>
      <c r="AL241" s="28">
        <v>0</v>
      </c>
      <c r="AM241" s="28">
        <v>0</v>
      </c>
      <c r="AN241" s="28">
        <v>0</v>
      </c>
      <c r="AO241" s="28">
        <v>0</v>
      </c>
      <c r="AP241" s="28">
        <v>0</v>
      </c>
      <c r="AQ241">
        <v>0</v>
      </c>
      <c r="AR241">
        <v>0</v>
      </c>
      <c r="AS241">
        <v>0</v>
      </c>
      <c r="AT241">
        <v>0</v>
      </c>
    </row>
    <row r="242" spans="1:46" ht="15.75" x14ac:dyDescent="0.25">
      <c r="A242" t="s">
        <v>729</v>
      </c>
      <c r="B242" t="s">
        <v>730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s="28">
        <v>0</v>
      </c>
      <c r="AJ242" s="28">
        <v>0</v>
      </c>
      <c r="AK242" s="28">
        <v>0</v>
      </c>
      <c r="AL242" s="28">
        <v>0</v>
      </c>
      <c r="AM242" s="28">
        <v>0</v>
      </c>
      <c r="AN242" s="28">
        <v>0</v>
      </c>
      <c r="AO242" s="28">
        <v>0</v>
      </c>
      <c r="AP242" s="28">
        <v>0</v>
      </c>
      <c r="AQ242">
        <v>0</v>
      </c>
      <c r="AR242">
        <v>0</v>
      </c>
      <c r="AS242">
        <v>0</v>
      </c>
      <c r="AT242">
        <v>0</v>
      </c>
    </row>
    <row r="243" spans="1:46" ht="15.75" x14ac:dyDescent="0.25">
      <c r="A243" t="s">
        <v>731</v>
      </c>
      <c r="B243" t="s">
        <v>732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s="28">
        <v>0</v>
      </c>
      <c r="AJ243" s="28">
        <v>0</v>
      </c>
      <c r="AK243" s="28">
        <v>0</v>
      </c>
      <c r="AL243" s="28">
        <v>0</v>
      </c>
      <c r="AM243" s="28">
        <v>0</v>
      </c>
      <c r="AN243" s="28">
        <v>0</v>
      </c>
      <c r="AO243" s="28">
        <v>0</v>
      </c>
      <c r="AP243" s="28">
        <v>0</v>
      </c>
      <c r="AQ243">
        <v>0</v>
      </c>
      <c r="AR243">
        <v>0</v>
      </c>
      <c r="AS243">
        <v>0</v>
      </c>
      <c r="AT243">
        <v>0</v>
      </c>
    </row>
    <row r="244" spans="1:46" ht="15.75" x14ac:dyDescent="0.25">
      <c r="A244" t="s">
        <v>733</v>
      </c>
      <c r="B244" t="s">
        <v>734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s="28">
        <v>0</v>
      </c>
      <c r="AJ244" s="28">
        <v>0</v>
      </c>
      <c r="AK244" s="28">
        <v>0</v>
      </c>
      <c r="AL244" s="28">
        <v>0</v>
      </c>
      <c r="AM244" s="28">
        <v>0</v>
      </c>
      <c r="AN244" s="28">
        <v>0</v>
      </c>
      <c r="AO244" s="28">
        <v>0</v>
      </c>
      <c r="AP244" s="28">
        <v>0</v>
      </c>
      <c r="AQ244">
        <v>0</v>
      </c>
      <c r="AR244">
        <v>0</v>
      </c>
      <c r="AS244">
        <v>0</v>
      </c>
      <c r="AT244">
        <v>0</v>
      </c>
    </row>
    <row r="245" spans="1:46" ht="15.75" x14ac:dyDescent="0.25">
      <c r="A245" t="s">
        <v>735</v>
      </c>
      <c r="B245" t="s">
        <v>736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s="28">
        <v>0</v>
      </c>
      <c r="AJ245" s="28">
        <v>0</v>
      </c>
      <c r="AK245" s="28">
        <v>0</v>
      </c>
      <c r="AL245" s="28">
        <v>0</v>
      </c>
      <c r="AM245" s="28">
        <v>0</v>
      </c>
      <c r="AN245" s="28">
        <v>0</v>
      </c>
      <c r="AO245" s="28">
        <v>0</v>
      </c>
      <c r="AP245" s="28">
        <v>0</v>
      </c>
      <c r="AQ245">
        <v>0</v>
      </c>
      <c r="AR245">
        <v>0</v>
      </c>
      <c r="AS245">
        <v>0</v>
      </c>
      <c r="AT245">
        <v>0</v>
      </c>
    </row>
    <row r="246" spans="1:46" ht="15.75" x14ac:dyDescent="0.25">
      <c r="A246" t="s">
        <v>737</v>
      </c>
      <c r="B246" t="s">
        <v>738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s="28">
        <v>0</v>
      </c>
      <c r="AJ246" s="28">
        <v>0</v>
      </c>
      <c r="AK246" s="28">
        <v>0</v>
      </c>
      <c r="AL246" s="28">
        <v>0</v>
      </c>
      <c r="AM246" s="28">
        <v>0</v>
      </c>
      <c r="AN246" s="28">
        <v>0</v>
      </c>
      <c r="AO246" s="28">
        <v>0</v>
      </c>
      <c r="AP246" s="28">
        <v>0</v>
      </c>
      <c r="AQ246">
        <v>0</v>
      </c>
      <c r="AR246">
        <v>0</v>
      </c>
      <c r="AS246">
        <v>0</v>
      </c>
      <c r="AT246">
        <v>0</v>
      </c>
    </row>
    <row r="247" spans="1:46" ht="15.75" x14ac:dyDescent="0.25">
      <c r="A247" t="s">
        <v>739</v>
      </c>
      <c r="B247" t="s">
        <v>740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s="28">
        <v>0</v>
      </c>
      <c r="AJ247" s="28">
        <v>0</v>
      </c>
      <c r="AK247" s="28">
        <v>0</v>
      </c>
      <c r="AL247" s="28">
        <v>0</v>
      </c>
      <c r="AM247" s="28">
        <v>0</v>
      </c>
      <c r="AN247" s="28">
        <v>0</v>
      </c>
      <c r="AO247" s="28">
        <v>0</v>
      </c>
      <c r="AP247" s="28">
        <v>0</v>
      </c>
      <c r="AQ247">
        <v>0</v>
      </c>
      <c r="AR247">
        <v>0</v>
      </c>
      <c r="AS247">
        <v>0</v>
      </c>
      <c r="AT247">
        <v>0</v>
      </c>
    </row>
    <row r="248" spans="1:46" ht="15.75" x14ac:dyDescent="0.25">
      <c r="A248" t="s">
        <v>741</v>
      </c>
      <c r="B248" t="s">
        <v>742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s="28">
        <v>0</v>
      </c>
      <c r="AJ248" s="28">
        <v>0</v>
      </c>
      <c r="AK248" s="28">
        <v>0</v>
      </c>
      <c r="AL248" s="28">
        <v>0</v>
      </c>
      <c r="AM248" s="28">
        <v>0</v>
      </c>
      <c r="AN248" s="28">
        <v>0</v>
      </c>
      <c r="AO248" s="28">
        <v>0</v>
      </c>
      <c r="AP248" s="28">
        <v>0</v>
      </c>
      <c r="AQ248">
        <v>0</v>
      </c>
      <c r="AR248">
        <v>0</v>
      </c>
      <c r="AS248">
        <v>0</v>
      </c>
      <c r="AT248">
        <v>0</v>
      </c>
    </row>
    <row r="249" spans="1:46" ht="15.75" x14ac:dyDescent="0.25">
      <c r="A249" t="s">
        <v>743</v>
      </c>
      <c r="B249" t="s">
        <v>744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-1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</v>
      </c>
      <c r="AE249">
        <v>0</v>
      </c>
      <c r="AF249">
        <v>0</v>
      </c>
      <c r="AG249">
        <v>0</v>
      </c>
      <c r="AH249">
        <v>-1</v>
      </c>
      <c r="AI249" s="28">
        <v>0</v>
      </c>
      <c r="AJ249" s="28">
        <v>0</v>
      </c>
      <c r="AK249" s="28">
        <v>0</v>
      </c>
      <c r="AL249" s="28">
        <v>0</v>
      </c>
      <c r="AM249" s="28">
        <v>0</v>
      </c>
      <c r="AN249" s="28">
        <v>0</v>
      </c>
      <c r="AO249" s="28">
        <v>0</v>
      </c>
      <c r="AP249" s="28">
        <v>0</v>
      </c>
      <c r="AQ249">
        <v>0</v>
      </c>
      <c r="AR249">
        <v>0</v>
      </c>
      <c r="AS249">
        <v>0</v>
      </c>
      <c r="AT249">
        <v>0</v>
      </c>
    </row>
    <row r="250" spans="1:46" ht="15.75" x14ac:dyDescent="0.25">
      <c r="A250" t="s">
        <v>745</v>
      </c>
      <c r="B250" t="s">
        <v>746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s="28">
        <v>0</v>
      </c>
      <c r="AJ250" s="28">
        <v>0</v>
      </c>
      <c r="AK250" s="28">
        <v>0</v>
      </c>
      <c r="AL250" s="28">
        <v>0</v>
      </c>
      <c r="AM250" s="28">
        <v>0</v>
      </c>
      <c r="AN250" s="28">
        <v>0</v>
      </c>
      <c r="AO250" s="28">
        <v>0</v>
      </c>
      <c r="AP250" s="28">
        <v>0</v>
      </c>
      <c r="AQ250">
        <v>0</v>
      </c>
      <c r="AR250">
        <v>0</v>
      </c>
      <c r="AS250">
        <v>0</v>
      </c>
      <c r="AT250">
        <v>0</v>
      </c>
    </row>
    <row r="251" spans="1:46" ht="15.75" x14ac:dyDescent="0.25">
      <c r="A251" t="s">
        <v>747</v>
      </c>
      <c r="B251" t="s">
        <v>748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s="28">
        <v>0</v>
      </c>
      <c r="AJ251" s="28">
        <v>0</v>
      </c>
      <c r="AK251" s="28">
        <v>0</v>
      </c>
      <c r="AL251" s="28">
        <v>0</v>
      </c>
      <c r="AM251" s="28">
        <v>0</v>
      </c>
      <c r="AN251" s="28">
        <v>0</v>
      </c>
      <c r="AO251" s="28">
        <v>0</v>
      </c>
      <c r="AP251" s="28">
        <v>0</v>
      </c>
      <c r="AQ251">
        <v>0</v>
      </c>
      <c r="AR251">
        <v>0</v>
      </c>
      <c r="AS251">
        <v>0</v>
      </c>
      <c r="AT251">
        <v>0</v>
      </c>
    </row>
    <row r="252" spans="1:46" ht="15.75" x14ac:dyDescent="0.25">
      <c r="A252" t="s">
        <v>749</v>
      </c>
      <c r="B252" t="s">
        <v>750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-1</v>
      </c>
      <c r="AI252" s="28">
        <v>0</v>
      </c>
      <c r="AJ252" s="28">
        <v>0</v>
      </c>
      <c r="AK252" s="28">
        <v>0</v>
      </c>
      <c r="AL252" s="28">
        <v>0</v>
      </c>
      <c r="AM252" s="28">
        <v>0</v>
      </c>
      <c r="AN252" s="28">
        <v>0</v>
      </c>
      <c r="AO252" s="28">
        <v>0</v>
      </c>
      <c r="AP252" s="28">
        <v>0</v>
      </c>
      <c r="AQ252">
        <v>0</v>
      </c>
      <c r="AR252">
        <v>0</v>
      </c>
      <c r="AS252">
        <v>0</v>
      </c>
      <c r="AT252">
        <v>0</v>
      </c>
    </row>
    <row r="253" spans="1:46" ht="15.75" x14ac:dyDescent="0.25">
      <c r="A253" t="s">
        <v>751</v>
      </c>
      <c r="B253" t="s">
        <v>752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-1</v>
      </c>
      <c r="AD253">
        <v>0</v>
      </c>
      <c r="AE253">
        <v>0</v>
      </c>
      <c r="AF253">
        <v>0</v>
      </c>
      <c r="AG253">
        <v>0</v>
      </c>
      <c r="AH253">
        <v>0</v>
      </c>
      <c r="AI253" s="28">
        <v>0</v>
      </c>
      <c r="AJ253" s="28">
        <v>0</v>
      </c>
      <c r="AK253" s="28">
        <v>0</v>
      </c>
      <c r="AL253" s="28">
        <v>0</v>
      </c>
      <c r="AM253" s="28">
        <v>0</v>
      </c>
      <c r="AN253" s="28">
        <v>0</v>
      </c>
      <c r="AO253" s="28">
        <v>0</v>
      </c>
      <c r="AP253" s="28">
        <v>0</v>
      </c>
      <c r="AQ253">
        <v>0</v>
      </c>
      <c r="AR253">
        <v>0</v>
      </c>
      <c r="AS253">
        <v>0</v>
      </c>
      <c r="AT253">
        <v>0</v>
      </c>
    </row>
    <row r="254" spans="1:46" ht="15.75" x14ac:dyDescent="0.25">
      <c r="A254" t="s">
        <v>753</v>
      </c>
      <c r="B254" t="s">
        <v>754</v>
      </c>
      <c r="C254">
        <v>0</v>
      </c>
      <c r="D254">
        <v>0</v>
      </c>
      <c r="E254">
        <v>7</v>
      </c>
      <c r="F254">
        <v>7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s="28">
        <v>0</v>
      </c>
      <c r="AJ254" s="28">
        <v>0</v>
      </c>
      <c r="AK254" s="28">
        <v>0</v>
      </c>
      <c r="AL254" s="28">
        <v>0</v>
      </c>
      <c r="AM254" s="28">
        <v>0</v>
      </c>
      <c r="AN254" s="28">
        <v>0</v>
      </c>
      <c r="AO254" s="28">
        <v>0</v>
      </c>
      <c r="AP254" s="28">
        <v>0</v>
      </c>
      <c r="AQ254">
        <v>0</v>
      </c>
      <c r="AR254">
        <v>0</v>
      </c>
      <c r="AS254">
        <v>-7</v>
      </c>
      <c r="AT254">
        <v>0</v>
      </c>
    </row>
    <row r="255" spans="1:46" ht="15.75" x14ac:dyDescent="0.25">
      <c r="A255" t="s">
        <v>755</v>
      </c>
      <c r="B255" t="s">
        <v>756</v>
      </c>
      <c r="C255">
        <v>0</v>
      </c>
      <c r="D255">
        <v>0</v>
      </c>
      <c r="E255">
        <v>0</v>
      </c>
      <c r="F255">
        <v>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s="28">
        <v>0</v>
      </c>
      <c r="AJ255" s="28">
        <v>0</v>
      </c>
      <c r="AK255" s="28">
        <v>0</v>
      </c>
      <c r="AL255" s="28">
        <v>0</v>
      </c>
      <c r="AM255" s="28">
        <v>0</v>
      </c>
      <c r="AN255" s="28">
        <v>0</v>
      </c>
      <c r="AO255" s="28">
        <v>0</v>
      </c>
      <c r="AP255" s="28">
        <v>0</v>
      </c>
      <c r="AQ255">
        <v>0</v>
      </c>
      <c r="AR255">
        <v>0</v>
      </c>
      <c r="AS255">
        <v>0</v>
      </c>
      <c r="AT255">
        <v>0</v>
      </c>
    </row>
    <row r="256" spans="1:46" ht="15.75" x14ac:dyDescent="0.25">
      <c r="A256" t="s">
        <v>757</v>
      </c>
      <c r="B256" t="s">
        <v>758</v>
      </c>
      <c r="C256">
        <v>0</v>
      </c>
      <c r="D256">
        <v>0</v>
      </c>
      <c r="E256">
        <v>0</v>
      </c>
      <c r="F256">
        <v>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-1</v>
      </c>
      <c r="AI256" s="28">
        <v>0</v>
      </c>
      <c r="AJ256" s="28">
        <v>0</v>
      </c>
      <c r="AK256" s="28">
        <v>0</v>
      </c>
      <c r="AL256" s="28">
        <v>0</v>
      </c>
      <c r="AM256" s="28">
        <v>0</v>
      </c>
      <c r="AN256" s="28">
        <v>0</v>
      </c>
      <c r="AO256" s="28">
        <v>0</v>
      </c>
      <c r="AP256" s="28">
        <v>0</v>
      </c>
      <c r="AQ256">
        <v>0</v>
      </c>
      <c r="AR256">
        <v>0</v>
      </c>
      <c r="AS256">
        <v>0</v>
      </c>
      <c r="AT256">
        <v>0</v>
      </c>
    </row>
    <row r="257" spans="1:46" ht="15.75" x14ac:dyDescent="0.25">
      <c r="A257" t="s">
        <v>759</v>
      </c>
      <c r="B257" t="s">
        <v>760</v>
      </c>
      <c r="C257">
        <v>0</v>
      </c>
      <c r="D257">
        <v>0</v>
      </c>
      <c r="E257">
        <v>0</v>
      </c>
      <c r="F257">
        <v>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s="28">
        <v>0</v>
      </c>
      <c r="AJ257" s="28">
        <v>0</v>
      </c>
      <c r="AK257" s="28">
        <v>0</v>
      </c>
      <c r="AL257" s="28">
        <v>0</v>
      </c>
      <c r="AM257" s="28">
        <v>0</v>
      </c>
      <c r="AN257" s="28">
        <v>0</v>
      </c>
      <c r="AO257" s="28">
        <v>0</v>
      </c>
      <c r="AP257" s="28">
        <v>0</v>
      </c>
      <c r="AQ257">
        <v>0</v>
      </c>
      <c r="AR257">
        <v>0</v>
      </c>
      <c r="AS257">
        <v>0</v>
      </c>
      <c r="AT257">
        <v>0</v>
      </c>
    </row>
    <row r="258" spans="1:46" ht="15.75" x14ac:dyDescent="0.25">
      <c r="A258" t="s">
        <v>761</v>
      </c>
      <c r="B258" t="s">
        <v>762</v>
      </c>
      <c r="C258">
        <v>6</v>
      </c>
      <c r="D258">
        <v>0</v>
      </c>
      <c r="E258">
        <v>0</v>
      </c>
      <c r="F258">
        <v>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s="28">
        <v>0</v>
      </c>
      <c r="AJ258" s="28">
        <v>0</v>
      </c>
      <c r="AK258" s="28">
        <v>0</v>
      </c>
      <c r="AL258" s="28">
        <v>0</v>
      </c>
      <c r="AM258" s="28">
        <v>0</v>
      </c>
      <c r="AN258" s="28">
        <v>0</v>
      </c>
      <c r="AO258" s="28">
        <v>0</v>
      </c>
      <c r="AP258" s="28">
        <v>0</v>
      </c>
      <c r="AQ258">
        <v>0</v>
      </c>
      <c r="AR258">
        <v>0</v>
      </c>
      <c r="AS258">
        <v>0</v>
      </c>
      <c r="AT258">
        <v>0</v>
      </c>
    </row>
    <row r="259" spans="1:46" ht="15.75" x14ac:dyDescent="0.25">
      <c r="A259" t="s">
        <v>763</v>
      </c>
      <c r="B259" t="s">
        <v>764</v>
      </c>
      <c r="C259">
        <v>6</v>
      </c>
      <c r="D259">
        <v>0</v>
      </c>
      <c r="E259">
        <v>0</v>
      </c>
      <c r="F259">
        <v>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s="28">
        <v>0</v>
      </c>
      <c r="AJ259" s="28">
        <v>0</v>
      </c>
      <c r="AK259" s="28">
        <v>0</v>
      </c>
      <c r="AL259" s="28">
        <v>0</v>
      </c>
      <c r="AM259" s="28">
        <v>0</v>
      </c>
      <c r="AN259" s="28">
        <v>0</v>
      </c>
      <c r="AO259" s="28">
        <v>0</v>
      </c>
      <c r="AP259" s="28">
        <v>0</v>
      </c>
      <c r="AQ259">
        <v>0</v>
      </c>
      <c r="AR259">
        <v>0</v>
      </c>
      <c r="AS259">
        <v>0</v>
      </c>
      <c r="AT259">
        <v>0</v>
      </c>
    </row>
    <row r="260" spans="1:46" ht="15.75" x14ac:dyDescent="0.25">
      <c r="A260" t="s">
        <v>765</v>
      </c>
      <c r="B260" t="s">
        <v>766</v>
      </c>
      <c r="C260">
        <v>0</v>
      </c>
      <c r="D260">
        <v>0</v>
      </c>
      <c r="E260">
        <v>0</v>
      </c>
      <c r="F260">
        <v>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s="28">
        <v>0</v>
      </c>
      <c r="AJ260" s="28">
        <v>0</v>
      </c>
      <c r="AK260" s="28">
        <v>0</v>
      </c>
      <c r="AL260" s="28">
        <v>0</v>
      </c>
      <c r="AM260" s="28">
        <v>0</v>
      </c>
      <c r="AN260" s="28">
        <v>0</v>
      </c>
      <c r="AO260" s="28">
        <v>0</v>
      </c>
      <c r="AP260" s="28">
        <v>0</v>
      </c>
      <c r="AQ260">
        <v>0</v>
      </c>
      <c r="AR260">
        <v>0</v>
      </c>
      <c r="AS260">
        <v>0</v>
      </c>
      <c r="AT260">
        <v>0</v>
      </c>
    </row>
    <row r="261" spans="1:46" ht="15.75" x14ac:dyDescent="0.25">
      <c r="A261" t="s">
        <v>767</v>
      </c>
      <c r="B261" t="s">
        <v>768</v>
      </c>
      <c r="C261">
        <v>0</v>
      </c>
      <c r="D261">
        <v>0</v>
      </c>
      <c r="E261">
        <v>0</v>
      </c>
      <c r="F261">
        <v>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s="28">
        <v>0</v>
      </c>
      <c r="AJ261" s="28">
        <v>0</v>
      </c>
      <c r="AK261" s="28">
        <v>0</v>
      </c>
      <c r="AL261" s="28">
        <v>0</v>
      </c>
      <c r="AM261" s="28">
        <v>0</v>
      </c>
      <c r="AN261" s="28">
        <v>0</v>
      </c>
      <c r="AO261" s="28">
        <v>0</v>
      </c>
      <c r="AP261" s="28">
        <v>0</v>
      </c>
      <c r="AQ261">
        <v>0</v>
      </c>
      <c r="AR261">
        <v>0</v>
      </c>
      <c r="AS261">
        <v>0</v>
      </c>
      <c r="AT261">
        <v>0</v>
      </c>
    </row>
    <row r="262" spans="1:46" ht="15.75" x14ac:dyDescent="0.25">
      <c r="A262" t="s">
        <v>769</v>
      </c>
      <c r="B262" t="s">
        <v>770</v>
      </c>
      <c r="C262">
        <v>0</v>
      </c>
      <c r="D262">
        <v>-1</v>
      </c>
      <c r="E262">
        <v>0</v>
      </c>
      <c r="F262">
        <v>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s="28">
        <v>0</v>
      </c>
      <c r="AJ262" s="28">
        <v>0</v>
      </c>
      <c r="AK262" s="28">
        <v>0</v>
      </c>
      <c r="AL262" s="28">
        <v>0</v>
      </c>
      <c r="AM262" s="28">
        <v>0</v>
      </c>
      <c r="AN262" s="28">
        <v>0</v>
      </c>
      <c r="AO262" s="28">
        <v>0</v>
      </c>
      <c r="AP262" s="28">
        <v>0</v>
      </c>
      <c r="AQ262">
        <v>0</v>
      </c>
      <c r="AR262">
        <v>0</v>
      </c>
      <c r="AS262">
        <v>0</v>
      </c>
      <c r="AT262">
        <v>0</v>
      </c>
    </row>
    <row r="263" spans="1:46" ht="15.75" x14ac:dyDescent="0.25">
      <c r="A263" t="s">
        <v>771</v>
      </c>
      <c r="B263" t="s">
        <v>772</v>
      </c>
      <c r="C263">
        <v>0</v>
      </c>
      <c r="D263">
        <v>0</v>
      </c>
      <c r="E263">
        <v>0</v>
      </c>
      <c r="F263">
        <v>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-1</v>
      </c>
      <c r="AI263" s="28">
        <v>0</v>
      </c>
      <c r="AJ263" s="28">
        <v>0</v>
      </c>
      <c r="AK263" s="28">
        <v>0</v>
      </c>
      <c r="AL263" s="28">
        <v>0</v>
      </c>
      <c r="AM263" s="28">
        <v>0</v>
      </c>
      <c r="AN263" s="28">
        <v>0</v>
      </c>
      <c r="AO263" s="28">
        <v>0</v>
      </c>
      <c r="AP263" s="28">
        <v>0</v>
      </c>
      <c r="AQ263">
        <v>0</v>
      </c>
      <c r="AR263">
        <v>0</v>
      </c>
      <c r="AS263">
        <v>0</v>
      </c>
      <c r="AT263">
        <v>0</v>
      </c>
    </row>
    <row r="264" spans="1:46" ht="15.75" x14ac:dyDescent="0.25">
      <c r="A264" t="s">
        <v>773</v>
      </c>
      <c r="B264" t="s">
        <v>774</v>
      </c>
      <c r="C264">
        <v>0</v>
      </c>
      <c r="D264">
        <v>0</v>
      </c>
      <c r="E264">
        <v>0</v>
      </c>
      <c r="F264">
        <v>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s="28">
        <v>0</v>
      </c>
      <c r="AJ264" s="28">
        <v>0</v>
      </c>
      <c r="AK264" s="28">
        <v>0</v>
      </c>
      <c r="AL264" s="28">
        <v>0</v>
      </c>
      <c r="AM264" s="28">
        <v>0</v>
      </c>
      <c r="AN264" s="28">
        <v>0</v>
      </c>
      <c r="AO264" s="28">
        <v>0</v>
      </c>
      <c r="AP264" s="28">
        <v>0</v>
      </c>
      <c r="AQ264">
        <v>0</v>
      </c>
      <c r="AR264">
        <v>0</v>
      </c>
      <c r="AS264">
        <v>0</v>
      </c>
      <c r="AT264">
        <v>0</v>
      </c>
    </row>
    <row r="265" spans="1:46" ht="15.75" x14ac:dyDescent="0.25">
      <c r="A265" t="s">
        <v>775</v>
      </c>
      <c r="B265" t="s">
        <v>776</v>
      </c>
      <c r="C265">
        <v>0</v>
      </c>
      <c r="D265">
        <v>0</v>
      </c>
      <c r="E265">
        <v>0</v>
      </c>
      <c r="F265">
        <v>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s="28">
        <v>0</v>
      </c>
      <c r="AJ265" s="28">
        <v>0</v>
      </c>
      <c r="AK265" s="28">
        <v>0</v>
      </c>
      <c r="AL265" s="28">
        <v>0</v>
      </c>
      <c r="AM265" s="28">
        <v>0</v>
      </c>
      <c r="AN265" s="28">
        <v>0</v>
      </c>
      <c r="AO265" s="28">
        <v>0</v>
      </c>
      <c r="AP265" s="28">
        <v>0</v>
      </c>
      <c r="AQ265">
        <v>0</v>
      </c>
      <c r="AR265">
        <v>0</v>
      </c>
      <c r="AS265">
        <v>0</v>
      </c>
      <c r="AT265">
        <v>0</v>
      </c>
    </row>
    <row r="266" spans="1:46" ht="15.75" x14ac:dyDescent="0.25">
      <c r="A266" t="s">
        <v>777</v>
      </c>
      <c r="B266" t="s">
        <v>778</v>
      </c>
      <c r="C266">
        <v>0</v>
      </c>
      <c r="D266">
        <v>0</v>
      </c>
      <c r="E266">
        <v>0</v>
      </c>
      <c r="F266">
        <v>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s="28">
        <v>0</v>
      </c>
      <c r="AJ266" s="28">
        <v>0</v>
      </c>
      <c r="AK266" s="28">
        <v>0</v>
      </c>
      <c r="AL266" s="28">
        <v>0</v>
      </c>
      <c r="AM266" s="28">
        <v>0</v>
      </c>
      <c r="AN266" s="28">
        <v>0</v>
      </c>
      <c r="AO266" s="28">
        <v>0</v>
      </c>
      <c r="AP266" s="28">
        <v>0</v>
      </c>
      <c r="AQ266">
        <v>0</v>
      </c>
      <c r="AR266">
        <v>0</v>
      </c>
      <c r="AS266">
        <v>0</v>
      </c>
      <c r="AT266">
        <v>0</v>
      </c>
    </row>
    <row r="267" spans="1:46" ht="15.75" x14ac:dyDescent="0.25">
      <c r="A267" t="s">
        <v>779</v>
      </c>
      <c r="B267" t="s">
        <v>780</v>
      </c>
      <c r="C267">
        <v>0</v>
      </c>
      <c r="D267">
        <v>0</v>
      </c>
      <c r="E267">
        <v>0</v>
      </c>
      <c r="F267">
        <v>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s="28">
        <v>0</v>
      </c>
      <c r="AJ267" s="28">
        <v>0</v>
      </c>
      <c r="AK267" s="28">
        <v>0</v>
      </c>
      <c r="AL267" s="28">
        <v>0</v>
      </c>
      <c r="AM267" s="28">
        <v>0</v>
      </c>
      <c r="AN267" s="28">
        <v>0</v>
      </c>
      <c r="AO267" s="28">
        <v>0</v>
      </c>
      <c r="AP267" s="28">
        <v>0</v>
      </c>
      <c r="AQ267">
        <v>0</v>
      </c>
      <c r="AR267">
        <v>0</v>
      </c>
      <c r="AS267">
        <v>0</v>
      </c>
      <c r="AT267">
        <v>0</v>
      </c>
    </row>
    <row r="268" spans="1:46" ht="15.75" x14ac:dyDescent="0.25">
      <c r="A268" t="s">
        <v>781</v>
      </c>
      <c r="B268" t="s">
        <v>782</v>
      </c>
      <c r="C268">
        <v>0</v>
      </c>
      <c r="D268">
        <v>0</v>
      </c>
      <c r="E268">
        <v>0</v>
      </c>
      <c r="F268">
        <v>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s="28">
        <v>0</v>
      </c>
      <c r="AJ268" s="28">
        <v>0</v>
      </c>
      <c r="AK268" s="28">
        <v>0</v>
      </c>
      <c r="AL268" s="28">
        <v>0</v>
      </c>
      <c r="AM268" s="28">
        <v>0</v>
      </c>
      <c r="AN268" s="28">
        <v>0</v>
      </c>
      <c r="AO268" s="28">
        <v>0</v>
      </c>
      <c r="AP268" s="28">
        <v>0</v>
      </c>
      <c r="AQ268">
        <v>0</v>
      </c>
      <c r="AR268">
        <v>0</v>
      </c>
      <c r="AS268">
        <v>0</v>
      </c>
      <c r="AT268">
        <v>0</v>
      </c>
    </row>
    <row r="269" spans="1:46" ht="15.75" x14ac:dyDescent="0.25">
      <c r="A269" t="s">
        <v>783</v>
      </c>
      <c r="B269" t="s">
        <v>784</v>
      </c>
      <c r="C269">
        <v>0</v>
      </c>
      <c r="D269">
        <v>0</v>
      </c>
      <c r="E269">
        <v>0</v>
      </c>
      <c r="F269">
        <v>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3</v>
      </c>
      <c r="AE269">
        <v>0</v>
      </c>
      <c r="AF269">
        <v>0</v>
      </c>
      <c r="AG269">
        <v>0</v>
      </c>
      <c r="AH269">
        <v>0</v>
      </c>
      <c r="AI269" s="28">
        <v>0</v>
      </c>
      <c r="AJ269" s="28">
        <v>0</v>
      </c>
      <c r="AK269" s="28">
        <v>0</v>
      </c>
      <c r="AL269" s="28">
        <v>0</v>
      </c>
      <c r="AM269" s="28">
        <v>0</v>
      </c>
      <c r="AN269" s="28">
        <v>0</v>
      </c>
      <c r="AO269" s="28">
        <v>0</v>
      </c>
      <c r="AP269" s="28">
        <v>0</v>
      </c>
      <c r="AQ269">
        <v>0</v>
      </c>
      <c r="AR269">
        <v>0</v>
      </c>
      <c r="AS269">
        <v>0</v>
      </c>
      <c r="AT269">
        <v>0</v>
      </c>
    </row>
    <row r="270" spans="1:46" ht="15.75" x14ac:dyDescent="0.25">
      <c r="A270" t="s">
        <v>785</v>
      </c>
      <c r="B270" t="s">
        <v>786</v>
      </c>
      <c r="C270">
        <v>0</v>
      </c>
      <c r="D270">
        <v>0</v>
      </c>
      <c r="E270">
        <v>0</v>
      </c>
      <c r="F270">
        <v>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s="28">
        <v>0</v>
      </c>
      <c r="AJ270" s="28">
        <v>0</v>
      </c>
      <c r="AK270" s="28">
        <v>0</v>
      </c>
      <c r="AL270" s="28">
        <v>0</v>
      </c>
      <c r="AM270" s="28">
        <v>0</v>
      </c>
      <c r="AN270" s="28">
        <v>0</v>
      </c>
      <c r="AO270" s="28">
        <v>0</v>
      </c>
      <c r="AP270" s="28">
        <v>0</v>
      </c>
      <c r="AQ270">
        <v>0</v>
      </c>
      <c r="AR270">
        <v>0</v>
      </c>
      <c r="AS270">
        <v>0</v>
      </c>
      <c r="AT270">
        <v>0</v>
      </c>
    </row>
    <row r="271" spans="1:46" ht="15.75" x14ac:dyDescent="0.25">
      <c r="A271" t="s">
        <v>787</v>
      </c>
      <c r="B271" t="s">
        <v>788</v>
      </c>
      <c r="C271">
        <v>0</v>
      </c>
      <c r="D271">
        <v>0</v>
      </c>
      <c r="E271">
        <v>0</v>
      </c>
      <c r="F271">
        <v>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s="28">
        <v>0</v>
      </c>
      <c r="AJ271" s="28">
        <v>0</v>
      </c>
      <c r="AK271" s="28">
        <v>0</v>
      </c>
      <c r="AL271" s="28">
        <v>0</v>
      </c>
      <c r="AM271" s="28">
        <v>0</v>
      </c>
      <c r="AN271" s="28">
        <v>0</v>
      </c>
      <c r="AO271" s="28">
        <v>0</v>
      </c>
      <c r="AP271" s="28">
        <v>0</v>
      </c>
      <c r="AQ271">
        <v>0</v>
      </c>
      <c r="AR271">
        <v>0</v>
      </c>
      <c r="AS271">
        <v>0</v>
      </c>
      <c r="AT271">
        <v>0</v>
      </c>
    </row>
    <row r="272" spans="1:46" ht="15.75" x14ac:dyDescent="0.25">
      <c r="A272" t="s">
        <v>789</v>
      </c>
      <c r="B272" t="s">
        <v>790</v>
      </c>
      <c r="C272">
        <v>0</v>
      </c>
      <c r="D272">
        <v>0</v>
      </c>
      <c r="E272">
        <v>0</v>
      </c>
      <c r="F272">
        <v>3</v>
      </c>
      <c r="G272">
        <v>0</v>
      </c>
      <c r="H272">
        <v>-1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 s="28">
        <v>0</v>
      </c>
      <c r="AJ272" s="28">
        <v>0</v>
      </c>
      <c r="AK272" s="28">
        <v>0</v>
      </c>
      <c r="AL272" s="28">
        <v>0</v>
      </c>
      <c r="AM272" s="28">
        <v>0</v>
      </c>
      <c r="AN272" s="28">
        <v>0</v>
      </c>
      <c r="AO272" s="28">
        <v>0</v>
      </c>
      <c r="AP272" s="28">
        <v>0</v>
      </c>
      <c r="AQ272">
        <v>0</v>
      </c>
      <c r="AR272">
        <v>0</v>
      </c>
      <c r="AS272">
        <v>0</v>
      </c>
      <c r="AT272">
        <v>0</v>
      </c>
    </row>
    <row r="273" spans="1:46" ht="15.75" x14ac:dyDescent="0.25">
      <c r="A273" t="s">
        <v>791</v>
      </c>
      <c r="B273" t="s">
        <v>792</v>
      </c>
      <c r="C273">
        <v>0</v>
      </c>
      <c r="D273">
        <v>0</v>
      </c>
      <c r="E273">
        <v>0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s="28">
        <v>0</v>
      </c>
      <c r="AJ273" s="28">
        <v>0</v>
      </c>
      <c r="AK273" s="28">
        <v>0</v>
      </c>
      <c r="AL273" s="28">
        <v>0</v>
      </c>
      <c r="AM273" s="28">
        <v>0</v>
      </c>
      <c r="AN273" s="28">
        <v>0</v>
      </c>
      <c r="AO273" s="28">
        <v>0</v>
      </c>
      <c r="AP273" s="28">
        <v>0</v>
      </c>
      <c r="AQ273">
        <v>0</v>
      </c>
      <c r="AR273">
        <v>0</v>
      </c>
      <c r="AS273">
        <v>0</v>
      </c>
      <c r="AT273">
        <v>0</v>
      </c>
    </row>
    <row r="274" spans="1:46" ht="15.75" x14ac:dyDescent="0.25">
      <c r="A274" t="s">
        <v>793</v>
      </c>
      <c r="B274" t="s">
        <v>794</v>
      </c>
      <c r="C274">
        <v>0</v>
      </c>
      <c r="D274">
        <v>-1</v>
      </c>
      <c r="E274">
        <v>0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s="28">
        <v>0</v>
      </c>
      <c r="AJ274" s="28">
        <v>0</v>
      </c>
      <c r="AK274" s="28">
        <v>0</v>
      </c>
      <c r="AL274" s="28">
        <v>0</v>
      </c>
      <c r="AM274" s="28">
        <v>0</v>
      </c>
      <c r="AN274" s="28">
        <v>0</v>
      </c>
      <c r="AO274" s="28">
        <v>0</v>
      </c>
      <c r="AP274" s="28">
        <v>0</v>
      </c>
      <c r="AQ274">
        <v>0</v>
      </c>
      <c r="AR274">
        <v>0</v>
      </c>
      <c r="AS274">
        <v>0</v>
      </c>
      <c r="AT274">
        <v>0</v>
      </c>
    </row>
    <row r="275" spans="1:46" ht="15.75" x14ac:dyDescent="0.25">
      <c r="A275" t="s">
        <v>795</v>
      </c>
      <c r="B275" t="s">
        <v>796</v>
      </c>
      <c r="C275">
        <v>0</v>
      </c>
      <c r="D275">
        <v>0</v>
      </c>
      <c r="E275">
        <v>0</v>
      </c>
      <c r="F275">
        <v>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s="28">
        <v>0</v>
      </c>
      <c r="AJ275" s="28">
        <v>0</v>
      </c>
      <c r="AK275" s="28">
        <v>0</v>
      </c>
      <c r="AL275" s="28">
        <v>0</v>
      </c>
      <c r="AM275" s="28">
        <v>0</v>
      </c>
      <c r="AN275" s="28">
        <v>0</v>
      </c>
      <c r="AO275" s="28">
        <v>0</v>
      </c>
      <c r="AP275" s="28">
        <v>0</v>
      </c>
      <c r="AQ275">
        <v>0</v>
      </c>
      <c r="AR275">
        <v>0</v>
      </c>
      <c r="AS275">
        <v>0</v>
      </c>
      <c r="AT275">
        <v>0</v>
      </c>
    </row>
    <row r="276" spans="1:46" ht="15.75" x14ac:dyDescent="0.25">
      <c r="A276" t="s">
        <v>797</v>
      </c>
      <c r="B276" t="s">
        <v>798</v>
      </c>
      <c r="C276">
        <v>0</v>
      </c>
      <c r="D276">
        <v>0</v>
      </c>
      <c r="E276">
        <v>0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s="28">
        <v>0</v>
      </c>
      <c r="AJ276" s="28">
        <v>0</v>
      </c>
      <c r="AK276" s="28">
        <v>0</v>
      </c>
      <c r="AL276" s="28">
        <v>0</v>
      </c>
      <c r="AM276" s="28">
        <v>0</v>
      </c>
      <c r="AN276" s="28">
        <v>0</v>
      </c>
      <c r="AO276" s="28">
        <v>0</v>
      </c>
      <c r="AP276" s="28">
        <v>0</v>
      </c>
      <c r="AQ276">
        <v>0</v>
      </c>
      <c r="AR276">
        <v>0</v>
      </c>
      <c r="AS276">
        <v>0</v>
      </c>
      <c r="AT276">
        <v>0</v>
      </c>
    </row>
    <row r="277" spans="1:46" ht="15.75" x14ac:dyDescent="0.25">
      <c r="A277" t="s">
        <v>799</v>
      </c>
      <c r="B277" t="s">
        <v>800</v>
      </c>
      <c r="C277">
        <v>0</v>
      </c>
      <c r="D277">
        <v>0</v>
      </c>
      <c r="E277">
        <v>0</v>
      </c>
      <c r="F277">
        <v>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-5</v>
      </c>
      <c r="AI277" s="28">
        <v>0</v>
      </c>
      <c r="AJ277" s="28">
        <v>0</v>
      </c>
      <c r="AK277" s="28">
        <v>0</v>
      </c>
      <c r="AL277" s="28">
        <v>0</v>
      </c>
      <c r="AM277" s="28">
        <v>0</v>
      </c>
      <c r="AN277" s="28">
        <v>0</v>
      </c>
      <c r="AO277" s="28">
        <v>0</v>
      </c>
      <c r="AP277" s="28">
        <v>0</v>
      </c>
      <c r="AQ277">
        <v>0</v>
      </c>
      <c r="AR277">
        <v>0</v>
      </c>
      <c r="AS277">
        <v>0</v>
      </c>
      <c r="AT277">
        <v>0</v>
      </c>
    </row>
    <row r="278" spans="1:46" ht="15.75" x14ac:dyDescent="0.25">
      <c r="A278" t="s">
        <v>801</v>
      </c>
      <c r="B278" t="s">
        <v>802</v>
      </c>
      <c r="C278">
        <v>0</v>
      </c>
      <c r="D278">
        <v>0</v>
      </c>
      <c r="E278">
        <v>0</v>
      </c>
      <c r="F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s="28">
        <v>0</v>
      </c>
      <c r="AJ278" s="28">
        <v>0</v>
      </c>
      <c r="AK278" s="28">
        <v>0</v>
      </c>
      <c r="AL278" s="28">
        <v>0</v>
      </c>
      <c r="AM278" s="28">
        <v>0</v>
      </c>
      <c r="AN278" s="28">
        <v>0</v>
      </c>
      <c r="AO278" s="28">
        <v>0</v>
      </c>
      <c r="AP278" s="28">
        <v>0</v>
      </c>
      <c r="AQ278">
        <v>0</v>
      </c>
      <c r="AR278">
        <v>0</v>
      </c>
      <c r="AS278">
        <v>0</v>
      </c>
      <c r="AT278">
        <v>0</v>
      </c>
    </row>
    <row r="279" spans="1:46" ht="15.75" x14ac:dyDescent="0.25">
      <c r="A279" t="s">
        <v>803</v>
      </c>
      <c r="B279" t="s">
        <v>804</v>
      </c>
      <c r="C279">
        <v>0</v>
      </c>
      <c r="D279">
        <v>-1</v>
      </c>
      <c r="E279">
        <v>1</v>
      </c>
      <c r="F279">
        <v>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</v>
      </c>
      <c r="AI279" s="28">
        <v>0</v>
      </c>
      <c r="AJ279" s="28">
        <v>0</v>
      </c>
      <c r="AK279" s="28">
        <v>0</v>
      </c>
      <c r="AL279" s="28">
        <v>0</v>
      </c>
      <c r="AM279" s="28">
        <v>0</v>
      </c>
      <c r="AN279" s="28">
        <v>0</v>
      </c>
      <c r="AO279" s="28">
        <v>0</v>
      </c>
      <c r="AP279" s="28">
        <v>0</v>
      </c>
      <c r="AQ279">
        <v>0</v>
      </c>
      <c r="AR279">
        <v>-1</v>
      </c>
      <c r="AS279">
        <v>-1</v>
      </c>
      <c r="AT279">
        <v>0</v>
      </c>
    </row>
    <row r="280" spans="1:46" ht="15.75" x14ac:dyDescent="0.25">
      <c r="A280" t="s">
        <v>805</v>
      </c>
      <c r="B280" t="s">
        <v>806</v>
      </c>
      <c r="C280">
        <v>0</v>
      </c>
      <c r="D280">
        <v>0</v>
      </c>
      <c r="E280">
        <v>0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s="28">
        <v>0</v>
      </c>
      <c r="AJ280" s="28">
        <v>0</v>
      </c>
      <c r="AK280" s="28">
        <v>0</v>
      </c>
      <c r="AL280" s="28">
        <v>0</v>
      </c>
      <c r="AM280" s="28">
        <v>0</v>
      </c>
      <c r="AN280" s="28">
        <v>0</v>
      </c>
      <c r="AO280" s="28">
        <v>0</v>
      </c>
      <c r="AP280" s="28">
        <v>0</v>
      </c>
      <c r="AQ280">
        <v>0</v>
      </c>
      <c r="AR280">
        <v>0</v>
      </c>
      <c r="AS280">
        <v>0</v>
      </c>
      <c r="AT280">
        <v>0</v>
      </c>
    </row>
    <row r="281" spans="1:46" ht="15.75" x14ac:dyDescent="0.25">
      <c r="A281" t="s">
        <v>807</v>
      </c>
      <c r="B281" t="s">
        <v>808</v>
      </c>
      <c r="C281">
        <v>0</v>
      </c>
      <c r="D281">
        <v>0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s="28">
        <v>0</v>
      </c>
      <c r="AJ281" s="28">
        <v>0</v>
      </c>
      <c r="AK281" s="28">
        <v>0</v>
      </c>
      <c r="AL281" s="28">
        <v>0</v>
      </c>
      <c r="AM281" s="28">
        <v>0</v>
      </c>
      <c r="AN281" s="28">
        <v>0</v>
      </c>
      <c r="AO281" s="28">
        <v>0</v>
      </c>
      <c r="AP281" s="28">
        <v>0</v>
      </c>
      <c r="AQ281">
        <v>0</v>
      </c>
      <c r="AR281">
        <v>0</v>
      </c>
      <c r="AS281">
        <v>0</v>
      </c>
      <c r="AT281">
        <v>0</v>
      </c>
    </row>
    <row r="282" spans="1:46" ht="15.75" x14ac:dyDescent="0.25">
      <c r="A282" t="s">
        <v>809</v>
      </c>
      <c r="B282" t="s">
        <v>810</v>
      </c>
      <c r="C282">
        <v>0</v>
      </c>
      <c r="D282">
        <v>0</v>
      </c>
      <c r="E282">
        <v>0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s="28">
        <v>0</v>
      </c>
      <c r="AJ282" s="28">
        <v>0</v>
      </c>
      <c r="AK282" s="28">
        <v>0</v>
      </c>
      <c r="AL282" s="28">
        <v>0</v>
      </c>
      <c r="AM282" s="28">
        <v>0</v>
      </c>
      <c r="AN282" s="28">
        <v>0</v>
      </c>
      <c r="AO282" s="28">
        <v>0</v>
      </c>
      <c r="AP282" s="28">
        <v>0</v>
      </c>
      <c r="AQ282">
        <v>0</v>
      </c>
      <c r="AR282">
        <v>0</v>
      </c>
      <c r="AS282">
        <v>0</v>
      </c>
      <c r="AT282">
        <v>0</v>
      </c>
    </row>
    <row r="283" spans="1:46" ht="15.75" x14ac:dyDescent="0.25">
      <c r="A283" t="s">
        <v>811</v>
      </c>
      <c r="B283" t="s">
        <v>812</v>
      </c>
      <c r="C283">
        <v>0</v>
      </c>
      <c r="D283">
        <v>0</v>
      </c>
      <c r="E283">
        <v>0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 s="28">
        <v>0</v>
      </c>
      <c r="AJ283" s="28">
        <v>0</v>
      </c>
      <c r="AK283" s="28">
        <v>0</v>
      </c>
      <c r="AL283" s="28">
        <v>0</v>
      </c>
      <c r="AM283" s="28">
        <v>0</v>
      </c>
      <c r="AN283" s="28">
        <v>0</v>
      </c>
      <c r="AO283" s="28">
        <v>0</v>
      </c>
      <c r="AP283" s="28">
        <v>0</v>
      </c>
      <c r="AQ283">
        <v>0</v>
      </c>
      <c r="AR283">
        <v>0</v>
      </c>
      <c r="AS283">
        <v>0</v>
      </c>
      <c r="AT283">
        <v>0</v>
      </c>
    </row>
    <row r="284" spans="1:46" ht="15.75" x14ac:dyDescent="0.25">
      <c r="A284" t="s">
        <v>813</v>
      </c>
      <c r="B284" t="s">
        <v>814</v>
      </c>
      <c r="C284">
        <v>0</v>
      </c>
      <c r="D284">
        <v>0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-1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s="28">
        <v>0</v>
      </c>
      <c r="AJ284" s="28">
        <v>0</v>
      </c>
      <c r="AK284" s="28">
        <v>0</v>
      </c>
      <c r="AL284" s="28">
        <v>0</v>
      </c>
      <c r="AM284" s="28">
        <v>0</v>
      </c>
      <c r="AN284" s="28">
        <v>0</v>
      </c>
      <c r="AO284" s="28">
        <v>0</v>
      </c>
      <c r="AP284" s="28">
        <v>0</v>
      </c>
      <c r="AQ284">
        <v>0</v>
      </c>
      <c r="AR284">
        <v>0</v>
      </c>
      <c r="AS284">
        <v>0</v>
      </c>
      <c r="AT284">
        <v>0</v>
      </c>
    </row>
    <row r="285" spans="1:46" ht="15.75" x14ac:dyDescent="0.25">
      <c r="A285" t="s">
        <v>815</v>
      </c>
      <c r="B285" t="s">
        <v>816</v>
      </c>
      <c r="C285">
        <v>0</v>
      </c>
      <c r="D285">
        <v>0</v>
      </c>
      <c r="E285">
        <v>0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s="28">
        <v>0</v>
      </c>
      <c r="AJ285" s="28">
        <v>0</v>
      </c>
      <c r="AK285" s="28">
        <v>0</v>
      </c>
      <c r="AL285" s="28">
        <v>0</v>
      </c>
      <c r="AM285" s="28">
        <v>0</v>
      </c>
      <c r="AN285" s="28">
        <v>0</v>
      </c>
      <c r="AO285" s="28">
        <v>0</v>
      </c>
      <c r="AP285" s="28">
        <v>0</v>
      </c>
      <c r="AQ285">
        <v>0</v>
      </c>
      <c r="AR285">
        <v>0</v>
      </c>
      <c r="AS285">
        <v>0</v>
      </c>
      <c r="AT285">
        <v>0</v>
      </c>
    </row>
    <row r="286" spans="1:46" ht="15.75" x14ac:dyDescent="0.25">
      <c r="A286" t="s">
        <v>817</v>
      </c>
      <c r="B286" t="s">
        <v>818</v>
      </c>
      <c r="C286">
        <v>0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s="28">
        <v>0</v>
      </c>
      <c r="AJ286" s="28">
        <v>0</v>
      </c>
      <c r="AK286" s="28">
        <v>0</v>
      </c>
      <c r="AL286" s="28">
        <v>0</v>
      </c>
      <c r="AM286" s="28">
        <v>0</v>
      </c>
      <c r="AN286" s="28">
        <v>0</v>
      </c>
      <c r="AO286" s="28">
        <v>0</v>
      </c>
      <c r="AP286" s="28">
        <v>0</v>
      </c>
      <c r="AQ286">
        <v>0</v>
      </c>
      <c r="AR286">
        <v>0</v>
      </c>
      <c r="AS286">
        <v>0</v>
      </c>
      <c r="AT286">
        <v>0</v>
      </c>
    </row>
    <row r="287" spans="1:46" ht="15.75" x14ac:dyDescent="0.25">
      <c r="A287" t="s">
        <v>819</v>
      </c>
      <c r="B287" t="s">
        <v>820</v>
      </c>
      <c r="C287">
        <v>0</v>
      </c>
      <c r="D287">
        <v>0</v>
      </c>
      <c r="E287">
        <v>0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s="28">
        <v>0</v>
      </c>
      <c r="AJ287" s="28">
        <v>0</v>
      </c>
      <c r="AK287" s="28">
        <v>0</v>
      </c>
      <c r="AL287" s="28">
        <v>0</v>
      </c>
      <c r="AM287" s="28">
        <v>0</v>
      </c>
      <c r="AN287" s="28">
        <v>0</v>
      </c>
      <c r="AO287" s="28">
        <v>0</v>
      </c>
      <c r="AP287" s="28">
        <v>0</v>
      </c>
      <c r="AQ287">
        <v>0</v>
      </c>
      <c r="AR287">
        <v>0</v>
      </c>
      <c r="AS287">
        <v>0</v>
      </c>
      <c r="AT287">
        <v>0</v>
      </c>
    </row>
    <row r="288" spans="1:46" ht="15.75" x14ac:dyDescent="0.25">
      <c r="A288" t="s">
        <v>821</v>
      </c>
      <c r="B288" t="s">
        <v>822</v>
      </c>
      <c r="C288">
        <v>0</v>
      </c>
      <c r="D288">
        <v>0</v>
      </c>
      <c r="E288">
        <v>0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s="28">
        <v>0</v>
      </c>
      <c r="AJ288" s="28">
        <v>0</v>
      </c>
      <c r="AK288" s="28">
        <v>0</v>
      </c>
      <c r="AL288" s="28">
        <v>0</v>
      </c>
      <c r="AM288" s="28">
        <v>0</v>
      </c>
      <c r="AN288" s="28">
        <v>0</v>
      </c>
      <c r="AO288" s="28">
        <v>0</v>
      </c>
      <c r="AP288" s="28">
        <v>0</v>
      </c>
      <c r="AQ288">
        <v>0</v>
      </c>
      <c r="AR288">
        <v>0</v>
      </c>
      <c r="AS288">
        <v>0</v>
      </c>
      <c r="AT288">
        <v>0</v>
      </c>
    </row>
    <row r="289" spans="1:46" ht="15.75" x14ac:dyDescent="0.25">
      <c r="A289" t="s">
        <v>823</v>
      </c>
      <c r="B289" t="s">
        <v>824</v>
      </c>
      <c r="C289">
        <v>0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s="28">
        <v>0</v>
      </c>
      <c r="AJ289" s="28">
        <v>0</v>
      </c>
      <c r="AK289" s="28">
        <v>0</v>
      </c>
      <c r="AL289" s="28">
        <v>0</v>
      </c>
      <c r="AM289" s="28">
        <v>0</v>
      </c>
      <c r="AN289" s="28">
        <v>0</v>
      </c>
      <c r="AO289" s="28">
        <v>0</v>
      </c>
      <c r="AP289" s="28">
        <v>0</v>
      </c>
      <c r="AQ289">
        <v>0</v>
      </c>
      <c r="AR289">
        <v>0</v>
      </c>
      <c r="AS289">
        <v>0</v>
      </c>
      <c r="AT289">
        <v>0</v>
      </c>
    </row>
    <row r="290" spans="1:46" ht="15.75" x14ac:dyDescent="0.25">
      <c r="A290" t="s">
        <v>825</v>
      </c>
      <c r="B290" t="s">
        <v>826</v>
      </c>
      <c r="C290">
        <v>0</v>
      </c>
      <c r="D290">
        <v>0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s="28">
        <v>0</v>
      </c>
      <c r="AJ290" s="28">
        <v>0</v>
      </c>
      <c r="AK290" s="28">
        <v>0</v>
      </c>
      <c r="AL290" s="28">
        <v>0</v>
      </c>
      <c r="AM290" s="28">
        <v>0</v>
      </c>
      <c r="AN290" s="28">
        <v>0</v>
      </c>
      <c r="AO290" s="28">
        <v>0</v>
      </c>
      <c r="AP290" s="28">
        <v>0</v>
      </c>
      <c r="AQ290">
        <v>0</v>
      </c>
      <c r="AR290">
        <v>0</v>
      </c>
      <c r="AS290">
        <v>0</v>
      </c>
      <c r="AT290">
        <v>0</v>
      </c>
    </row>
    <row r="291" spans="1:46" ht="15.75" x14ac:dyDescent="0.25">
      <c r="A291" t="s">
        <v>827</v>
      </c>
      <c r="B291" t="s">
        <v>828</v>
      </c>
      <c r="C291">
        <v>1</v>
      </c>
      <c r="D291">
        <v>0</v>
      </c>
      <c r="E291">
        <v>0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s="28">
        <v>0</v>
      </c>
      <c r="AJ291" s="28">
        <v>0</v>
      </c>
      <c r="AK291" s="28">
        <v>0</v>
      </c>
      <c r="AL291" s="28">
        <v>0</v>
      </c>
      <c r="AM291" s="28">
        <v>0</v>
      </c>
      <c r="AN291" s="28">
        <v>0</v>
      </c>
      <c r="AO291" s="28">
        <v>0</v>
      </c>
      <c r="AP291" s="28">
        <v>0</v>
      </c>
      <c r="AQ291">
        <v>0</v>
      </c>
      <c r="AR291">
        <v>0</v>
      </c>
      <c r="AS291">
        <v>0</v>
      </c>
      <c r="AT291">
        <v>0</v>
      </c>
    </row>
    <row r="292" spans="1:46" ht="15.75" x14ac:dyDescent="0.25">
      <c r="A292" t="s">
        <v>829</v>
      </c>
      <c r="B292" t="s">
        <v>830</v>
      </c>
      <c r="C292">
        <v>0</v>
      </c>
      <c r="D292">
        <v>0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s="28">
        <v>0</v>
      </c>
      <c r="AJ292" s="28">
        <v>0</v>
      </c>
      <c r="AK292" s="28">
        <v>0</v>
      </c>
      <c r="AL292" s="28">
        <v>0</v>
      </c>
      <c r="AM292" s="28">
        <v>0</v>
      </c>
      <c r="AN292" s="28">
        <v>0</v>
      </c>
      <c r="AO292" s="28">
        <v>0</v>
      </c>
      <c r="AP292" s="28">
        <v>0</v>
      </c>
      <c r="AQ292">
        <v>0</v>
      </c>
      <c r="AR292">
        <v>0</v>
      </c>
      <c r="AS292">
        <v>0</v>
      </c>
      <c r="AT292">
        <v>0</v>
      </c>
    </row>
    <row r="293" spans="1:46" ht="15.75" x14ac:dyDescent="0.25">
      <c r="A293" t="s">
        <v>831</v>
      </c>
      <c r="B293" t="s">
        <v>832</v>
      </c>
      <c r="C293">
        <v>0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s="28">
        <v>0</v>
      </c>
      <c r="AJ293" s="28">
        <v>0</v>
      </c>
      <c r="AK293" s="28">
        <v>0</v>
      </c>
      <c r="AL293" s="28">
        <v>0</v>
      </c>
      <c r="AM293" s="28">
        <v>0</v>
      </c>
      <c r="AN293" s="28">
        <v>0</v>
      </c>
      <c r="AO293" s="28">
        <v>0</v>
      </c>
      <c r="AP293" s="28">
        <v>0</v>
      </c>
      <c r="AQ293">
        <v>0</v>
      </c>
      <c r="AR293">
        <v>0</v>
      </c>
      <c r="AS293">
        <v>0</v>
      </c>
      <c r="AT293">
        <v>0</v>
      </c>
    </row>
    <row r="294" spans="1:46" ht="15.75" x14ac:dyDescent="0.25">
      <c r="A294" t="s">
        <v>833</v>
      </c>
      <c r="B294" t="s">
        <v>834</v>
      </c>
      <c r="C294">
        <v>0</v>
      </c>
      <c r="D294">
        <v>0</v>
      </c>
      <c r="E294">
        <v>0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s="28">
        <v>0</v>
      </c>
      <c r="AJ294" s="28">
        <v>0</v>
      </c>
      <c r="AK294" s="28">
        <v>0</v>
      </c>
      <c r="AL294" s="28">
        <v>0</v>
      </c>
      <c r="AM294" s="28">
        <v>0</v>
      </c>
      <c r="AN294" s="28">
        <v>0</v>
      </c>
      <c r="AO294" s="28">
        <v>0</v>
      </c>
      <c r="AP294" s="28">
        <v>0</v>
      </c>
      <c r="AQ294">
        <v>0</v>
      </c>
      <c r="AR294">
        <v>0</v>
      </c>
      <c r="AS294">
        <v>0</v>
      </c>
      <c r="AT294">
        <v>0</v>
      </c>
    </row>
    <row r="295" spans="1:46" ht="15.75" x14ac:dyDescent="0.25">
      <c r="A295" t="s">
        <v>835</v>
      </c>
      <c r="B295" t="s">
        <v>836</v>
      </c>
      <c r="C295">
        <v>0</v>
      </c>
      <c r="D295">
        <v>0</v>
      </c>
      <c r="E295">
        <v>0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-3</v>
      </c>
      <c r="AI295" s="28">
        <v>0</v>
      </c>
      <c r="AJ295" s="28">
        <v>0</v>
      </c>
      <c r="AK295" s="28">
        <v>0</v>
      </c>
      <c r="AL295" s="28">
        <v>0</v>
      </c>
      <c r="AM295" s="28">
        <v>0</v>
      </c>
      <c r="AN295" s="28">
        <v>0</v>
      </c>
      <c r="AO295" s="28">
        <v>0</v>
      </c>
      <c r="AP295" s="28">
        <v>0</v>
      </c>
      <c r="AQ295">
        <v>0</v>
      </c>
      <c r="AR295">
        <v>0</v>
      </c>
      <c r="AS295">
        <v>0</v>
      </c>
      <c r="AT295">
        <v>0</v>
      </c>
    </row>
    <row r="296" spans="1:46" ht="15.75" x14ac:dyDescent="0.25">
      <c r="A296" t="s">
        <v>837</v>
      </c>
      <c r="B296" t="s">
        <v>838</v>
      </c>
      <c r="C296">
        <v>0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s="28">
        <v>0</v>
      </c>
      <c r="AJ296" s="28">
        <v>0</v>
      </c>
      <c r="AK296" s="28">
        <v>0</v>
      </c>
      <c r="AL296" s="28">
        <v>0</v>
      </c>
      <c r="AM296" s="28">
        <v>0</v>
      </c>
      <c r="AN296" s="28">
        <v>0</v>
      </c>
      <c r="AO296" s="28">
        <v>0</v>
      </c>
      <c r="AP296" s="28">
        <v>0</v>
      </c>
      <c r="AQ296">
        <v>0</v>
      </c>
      <c r="AR296">
        <v>0</v>
      </c>
      <c r="AS296">
        <v>0</v>
      </c>
      <c r="AT296">
        <v>0</v>
      </c>
    </row>
    <row r="297" spans="1:46" ht="15.75" x14ac:dyDescent="0.25">
      <c r="A297" t="s">
        <v>839</v>
      </c>
      <c r="B297" t="s">
        <v>840</v>
      </c>
      <c r="C297">
        <v>0</v>
      </c>
      <c r="D297">
        <v>0</v>
      </c>
      <c r="E297">
        <v>0</v>
      </c>
      <c r="F297">
        <v>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s="28">
        <v>0</v>
      </c>
      <c r="AJ297" s="28">
        <v>0</v>
      </c>
      <c r="AK297" s="28">
        <v>0</v>
      </c>
      <c r="AL297" s="28">
        <v>0</v>
      </c>
      <c r="AM297" s="28">
        <v>0</v>
      </c>
      <c r="AN297" s="28">
        <v>0</v>
      </c>
      <c r="AO297" s="28">
        <v>0</v>
      </c>
      <c r="AP297" s="28">
        <v>0</v>
      </c>
      <c r="AQ297">
        <v>0</v>
      </c>
      <c r="AR297">
        <v>0</v>
      </c>
      <c r="AS297">
        <v>0</v>
      </c>
      <c r="AT297">
        <v>0</v>
      </c>
    </row>
    <row r="298" spans="1:46" ht="15.75" x14ac:dyDescent="0.25">
      <c r="A298" t="s">
        <v>841</v>
      </c>
      <c r="B298" t="s">
        <v>842</v>
      </c>
      <c r="C298">
        <v>0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-2</v>
      </c>
      <c r="AI298" s="28">
        <v>0</v>
      </c>
      <c r="AJ298" s="28">
        <v>0</v>
      </c>
      <c r="AK298" s="28">
        <v>0</v>
      </c>
      <c r="AL298" s="28">
        <v>0</v>
      </c>
      <c r="AM298" s="28">
        <v>0</v>
      </c>
      <c r="AN298" s="28">
        <v>0</v>
      </c>
      <c r="AO298" s="28">
        <v>0</v>
      </c>
      <c r="AP298" s="28">
        <v>0</v>
      </c>
      <c r="AQ298">
        <v>0</v>
      </c>
      <c r="AR298">
        <v>0</v>
      </c>
      <c r="AS298">
        <v>0</v>
      </c>
      <c r="AT298">
        <v>0</v>
      </c>
    </row>
    <row r="299" spans="1:46" ht="15.75" x14ac:dyDescent="0.25">
      <c r="A299" t="s">
        <v>843</v>
      </c>
      <c r="B299" t="s">
        <v>844</v>
      </c>
      <c r="C299">
        <v>0</v>
      </c>
      <c r="D299">
        <v>0</v>
      </c>
      <c r="E299">
        <v>0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s="28">
        <v>0</v>
      </c>
      <c r="AJ299" s="28">
        <v>0</v>
      </c>
      <c r="AK299" s="28">
        <v>0</v>
      </c>
      <c r="AL299" s="28">
        <v>0</v>
      </c>
      <c r="AM299" s="28">
        <v>0</v>
      </c>
      <c r="AN299" s="28">
        <v>0</v>
      </c>
      <c r="AO299" s="28">
        <v>0</v>
      </c>
      <c r="AP299" s="28">
        <v>0</v>
      </c>
      <c r="AQ299">
        <v>0</v>
      </c>
      <c r="AR299">
        <v>0</v>
      </c>
      <c r="AS299">
        <v>0</v>
      </c>
      <c r="AT299">
        <v>0</v>
      </c>
    </row>
    <row r="300" spans="1:46" ht="15.75" x14ac:dyDescent="0.25">
      <c r="A300" t="s">
        <v>845</v>
      </c>
      <c r="B300" t="s">
        <v>846</v>
      </c>
      <c r="C300">
        <v>0</v>
      </c>
      <c r="D300">
        <v>0</v>
      </c>
      <c r="E300">
        <v>0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s="28">
        <v>0</v>
      </c>
      <c r="AJ300" s="28">
        <v>0</v>
      </c>
      <c r="AK300" s="28">
        <v>0</v>
      </c>
      <c r="AL300" s="28">
        <v>0</v>
      </c>
      <c r="AM300" s="28">
        <v>0</v>
      </c>
      <c r="AN300" s="28">
        <v>0</v>
      </c>
      <c r="AO300" s="28">
        <v>0</v>
      </c>
      <c r="AP300" s="28">
        <v>0</v>
      </c>
      <c r="AQ300">
        <v>0</v>
      </c>
      <c r="AR300">
        <v>0</v>
      </c>
      <c r="AS300">
        <v>0</v>
      </c>
      <c r="AT300">
        <v>0</v>
      </c>
    </row>
    <row r="301" spans="1:46" ht="15.75" x14ac:dyDescent="0.25">
      <c r="A301" t="s">
        <v>847</v>
      </c>
      <c r="B301" t="s">
        <v>848</v>
      </c>
      <c r="C301">
        <v>0</v>
      </c>
      <c r="D301">
        <v>0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s="28">
        <v>0</v>
      </c>
      <c r="AJ301" s="28">
        <v>0</v>
      </c>
      <c r="AK301" s="28">
        <v>0</v>
      </c>
      <c r="AL301" s="28">
        <v>0</v>
      </c>
      <c r="AM301" s="28">
        <v>0</v>
      </c>
      <c r="AN301" s="28">
        <v>0</v>
      </c>
      <c r="AO301" s="28">
        <v>0</v>
      </c>
      <c r="AP301" s="28">
        <v>0</v>
      </c>
      <c r="AQ301">
        <v>0</v>
      </c>
      <c r="AR301">
        <v>0</v>
      </c>
      <c r="AS301">
        <v>0</v>
      </c>
      <c r="AT301">
        <v>0</v>
      </c>
    </row>
    <row r="302" spans="1:46" ht="15.75" x14ac:dyDescent="0.25">
      <c r="A302" t="s">
        <v>849</v>
      </c>
      <c r="B302" t="s">
        <v>850</v>
      </c>
      <c r="C302">
        <v>0</v>
      </c>
      <c r="D302">
        <v>0</v>
      </c>
      <c r="E302">
        <v>0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s="28">
        <v>0</v>
      </c>
      <c r="AJ302" s="28">
        <v>0</v>
      </c>
      <c r="AK302" s="28">
        <v>0</v>
      </c>
      <c r="AL302" s="28">
        <v>0</v>
      </c>
      <c r="AM302" s="28">
        <v>0</v>
      </c>
      <c r="AN302" s="28">
        <v>0</v>
      </c>
      <c r="AO302" s="28">
        <v>0</v>
      </c>
      <c r="AP302" s="28">
        <v>0</v>
      </c>
      <c r="AQ302">
        <v>0</v>
      </c>
      <c r="AR302">
        <v>0</v>
      </c>
      <c r="AS302">
        <v>0</v>
      </c>
      <c r="AT302">
        <v>0</v>
      </c>
    </row>
    <row r="303" spans="1:46" ht="15.75" x14ac:dyDescent="0.25">
      <c r="A303" t="s">
        <v>851</v>
      </c>
      <c r="B303" t="s">
        <v>852</v>
      </c>
      <c r="C303">
        <v>0</v>
      </c>
      <c r="D303">
        <v>0</v>
      </c>
      <c r="E303">
        <v>0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s="28">
        <v>0</v>
      </c>
      <c r="AJ303" s="28">
        <v>0</v>
      </c>
      <c r="AK303" s="28">
        <v>0</v>
      </c>
      <c r="AL303" s="28">
        <v>0</v>
      </c>
      <c r="AM303" s="28">
        <v>0</v>
      </c>
      <c r="AN303" s="28">
        <v>0</v>
      </c>
      <c r="AO303" s="28">
        <v>0</v>
      </c>
      <c r="AP303" s="28">
        <v>0</v>
      </c>
      <c r="AQ303">
        <v>0</v>
      </c>
      <c r="AR303">
        <v>0</v>
      </c>
      <c r="AS303">
        <v>0</v>
      </c>
      <c r="AT303">
        <v>0</v>
      </c>
    </row>
    <row r="304" spans="1:46" ht="15.75" x14ac:dyDescent="0.25">
      <c r="A304" t="s">
        <v>853</v>
      </c>
      <c r="B304" t="s">
        <v>854</v>
      </c>
      <c r="C304">
        <v>0</v>
      </c>
      <c r="D304">
        <v>0</v>
      </c>
      <c r="E304">
        <v>0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s="28">
        <v>0</v>
      </c>
      <c r="AJ304" s="28">
        <v>0</v>
      </c>
      <c r="AK304" s="28">
        <v>0</v>
      </c>
      <c r="AL304" s="28">
        <v>0</v>
      </c>
      <c r="AM304" s="28">
        <v>0</v>
      </c>
      <c r="AN304" s="28">
        <v>0</v>
      </c>
      <c r="AO304" s="28">
        <v>0</v>
      </c>
      <c r="AP304" s="28">
        <v>0</v>
      </c>
      <c r="AQ304">
        <v>0</v>
      </c>
      <c r="AR304">
        <v>0</v>
      </c>
      <c r="AS304">
        <v>0</v>
      </c>
      <c r="AT304">
        <v>0</v>
      </c>
    </row>
    <row r="305" spans="1:46" ht="15.75" x14ac:dyDescent="0.25">
      <c r="A305" t="s">
        <v>855</v>
      </c>
      <c r="B305" t="s">
        <v>856</v>
      </c>
      <c r="C305">
        <v>0</v>
      </c>
      <c r="D305">
        <v>-1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s="28">
        <v>0</v>
      </c>
      <c r="AJ305" s="28">
        <v>0</v>
      </c>
      <c r="AK305" s="28">
        <v>0</v>
      </c>
      <c r="AL305" s="28">
        <v>0</v>
      </c>
      <c r="AM305" s="28">
        <v>0</v>
      </c>
      <c r="AN305" s="28">
        <v>0</v>
      </c>
      <c r="AO305" s="28">
        <v>0</v>
      </c>
      <c r="AP305" s="28">
        <v>0</v>
      </c>
      <c r="AQ305">
        <v>0</v>
      </c>
      <c r="AR305">
        <v>0</v>
      </c>
      <c r="AS305">
        <v>0</v>
      </c>
      <c r="AT305">
        <v>0</v>
      </c>
    </row>
    <row r="306" spans="1:46" ht="15.75" x14ac:dyDescent="0.25">
      <c r="A306" t="s">
        <v>857</v>
      </c>
      <c r="B306" t="s">
        <v>858</v>
      </c>
      <c r="C306">
        <v>0</v>
      </c>
      <c r="D306">
        <v>0</v>
      </c>
      <c r="E306">
        <v>2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2</v>
      </c>
      <c r="AE306">
        <v>0</v>
      </c>
      <c r="AF306">
        <v>0</v>
      </c>
      <c r="AG306">
        <v>0</v>
      </c>
      <c r="AH306">
        <v>0</v>
      </c>
      <c r="AI306" s="28">
        <v>0</v>
      </c>
      <c r="AJ306" s="28">
        <v>0</v>
      </c>
      <c r="AK306" s="28">
        <v>0</v>
      </c>
      <c r="AL306" s="28">
        <v>0</v>
      </c>
      <c r="AM306" s="28">
        <v>0</v>
      </c>
      <c r="AN306" s="28">
        <v>0</v>
      </c>
      <c r="AO306" s="28">
        <v>0</v>
      </c>
      <c r="AP306" s="28">
        <v>0</v>
      </c>
      <c r="AQ306">
        <v>0</v>
      </c>
      <c r="AR306">
        <v>0</v>
      </c>
      <c r="AS306">
        <v>-2</v>
      </c>
      <c r="AT306">
        <v>0</v>
      </c>
    </row>
    <row r="307" spans="1:46" ht="15.75" x14ac:dyDescent="0.25">
      <c r="A307" t="s">
        <v>859</v>
      </c>
      <c r="B307" t="s">
        <v>860</v>
      </c>
      <c r="C307">
        <v>0</v>
      </c>
      <c r="D307">
        <v>0</v>
      </c>
      <c r="E307">
        <v>0</v>
      </c>
      <c r="F307">
        <v>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2</v>
      </c>
      <c r="AB307">
        <v>0</v>
      </c>
      <c r="AC307">
        <v>0</v>
      </c>
      <c r="AD307">
        <v>2</v>
      </c>
      <c r="AE307">
        <v>0</v>
      </c>
      <c r="AF307">
        <v>0</v>
      </c>
      <c r="AG307">
        <v>0</v>
      </c>
      <c r="AH307">
        <v>0</v>
      </c>
      <c r="AI307" s="28">
        <v>0</v>
      </c>
      <c r="AJ307" s="28">
        <v>0</v>
      </c>
      <c r="AK307" s="28">
        <v>0</v>
      </c>
      <c r="AL307" s="28">
        <v>0</v>
      </c>
      <c r="AM307" s="28">
        <v>0</v>
      </c>
      <c r="AN307" s="28">
        <v>0</v>
      </c>
      <c r="AO307" s="28">
        <v>0</v>
      </c>
      <c r="AP307" s="28">
        <v>0</v>
      </c>
      <c r="AQ307">
        <v>0</v>
      </c>
      <c r="AR307">
        <v>0</v>
      </c>
      <c r="AS307">
        <v>-1</v>
      </c>
      <c r="AT307">
        <v>0</v>
      </c>
    </row>
    <row r="308" spans="1:46" ht="15.75" x14ac:dyDescent="0.25">
      <c r="A308" t="s">
        <v>861</v>
      </c>
      <c r="B308" t="s">
        <v>862</v>
      </c>
      <c r="C308">
        <v>0</v>
      </c>
      <c r="D308">
        <v>0</v>
      </c>
      <c r="E308">
        <v>0</v>
      </c>
      <c r="F308">
        <v>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s="28">
        <v>0</v>
      </c>
      <c r="AJ308" s="28">
        <v>0</v>
      </c>
      <c r="AK308" s="28">
        <v>0</v>
      </c>
      <c r="AL308" s="28">
        <v>0</v>
      </c>
      <c r="AM308" s="28">
        <v>0</v>
      </c>
      <c r="AN308" s="28">
        <v>0</v>
      </c>
      <c r="AO308" s="28">
        <v>0</v>
      </c>
      <c r="AP308" s="28">
        <v>0</v>
      </c>
      <c r="AQ308">
        <v>0</v>
      </c>
      <c r="AR308">
        <v>0</v>
      </c>
      <c r="AS308">
        <v>0</v>
      </c>
      <c r="AT308">
        <v>0</v>
      </c>
    </row>
    <row r="309" spans="1:46" ht="15.75" x14ac:dyDescent="0.25">
      <c r="A309" t="s">
        <v>863</v>
      </c>
      <c r="B309" t="s">
        <v>864</v>
      </c>
      <c r="C309">
        <v>0</v>
      </c>
      <c r="D309">
        <v>0</v>
      </c>
      <c r="E309">
        <v>0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s="28">
        <v>0</v>
      </c>
      <c r="AJ309" s="28">
        <v>0</v>
      </c>
      <c r="AK309" s="28">
        <v>0</v>
      </c>
      <c r="AL309" s="28">
        <v>0</v>
      </c>
      <c r="AM309" s="28">
        <v>0</v>
      </c>
      <c r="AN309" s="28">
        <v>0</v>
      </c>
      <c r="AO309" s="28">
        <v>0</v>
      </c>
      <c r="AP309" s="28">
        <v>0</v>
      </c>
      <c r="AQ309">
        <v>0</v>
      </c>
      <c r="AR309">
        <v>0</v>
      </c>
      <c r="AS309">
        <v>0</v>
      </c>
      <c r="AT309">
        <v>0</v>
      </c>
    </row>
    <row r="310" spans="1:46" ht="15.75" x14ac:dyDescent="0.25">
      <c r="A310" t="s">
        <v>865</v>
      </c>
      <c r="B310" t="s">
        <v>866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s="28">
        <v>0</v>
      </c>
      <c r="AJ310" s="28">
        <v>0</v>
      </c>
      <c r="AK310" s="28">
        <v>0</v>
      </c>
      <c r="AL310" s="28">
        <v>0</v>
      </c>
      <c r="AM310" s="28">
        <v>0</v>
      </c>
      <c r="AN310" s="28">
        <v>0</v>
      </c>
      <c r="AO310" s="28">
        <v>0</v>
      </c>
      <c r="AP310" s="28">
        <v>0</v>
      </c>
      <c r="AQ310">
        <v>0</v>
      </c>
      <c r="AR310">
        <v>0</v>
      </c>
      <c r="AS310">
        <v>0</v>
      </c>
      <c r="AT310">
        <v>0</v>
      </c>
    </row>
    <row r="311" spans="1:46" ht="15.75" x14ac:dyDescent="0.25">
      <c r="A311" t="s">
        <v>867</v>
      </c>
      <c r="B311" t="s">
        <v>868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s="28">
        <v>0</v>
      </c>
      <c r="AJ311" s="28">
        <v>0</v>
      </c>
      <c r="AK311" s="28">
        <v>0</v>
      </c>
      <c r="AL311" s="28">
        <v>0</v>
      </c>
      <c r="AM311" s="28">
        <v>0</v>
      </c>
      <c r="AN311" s="28">
        <v>0</v>
      </c>
      <c r="AO311" s="28">
        <v>0</v>
      </c>
      <c r="AP311" s="28">
        <v>0</v>
      </c>
      <c r="AQ311">
        <v>0</v>
      </c>
      <c r="AR311">
        <v>0</v>
      </c>
      <c r="AS311">
        <v>0</v>
      </c>
      <c r="AT311">
        <v>0</v>
      </c>
    </row>
    <row r="312" spans="1:46" ht="15.75" x14ac:dyDescent="0.25">
      <c r="A312" t="s">
        <v>869</v>
      </c>
      <c r="B312" t="s">
        <v>870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s="28">
        <v>0</v>
      </c>
      <c r="AJ312" s="28">
        <v>0</v>
      </c>
      <c r="AK312" s="28">
        <v>0</v>
      </c>
      <c r="AL312" s="28">
        <v>0</v>
      </c>
      <c r="AM312" s="28">
        <v>0</v>
      </c>
      <c r="AN312" s="28">
        <v>0</v>
      </c>
      <c r="AO312" s="28">
        <v>0</v>
      </c>
      <c r="AP312" s="28">
        <v>0</v>
      </c>
      <c r="AQ312">
        <v>0</v>
      </c>
      <c r="AR312">
        <v>0</v>
      </c>
      <c r="AS312">
        <v>0</v>
      </c>
      <c r="AT312">
        <v>0</v>
      </c>
    </row>
    <row r="313" spans="1:46" ht="15.75" x14ac:dyDescent="0.25">
      <c r="A313" t="s">
        <v>871</v>
      </c>
      <c r="B313" t="s">
        <v>872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s="28">
        <v>0</v>
      </c>
      <c r="AJ313" s="28">
        <v>0</v>
      </c>
      <c r="AK313" s="28">
        <v>0</v>
      </c>
      <c r="AL313" s="28">
        <v>0</v>
      </c>
      <c r="AM313" s="28">
        <v>0</v>
      </c>
      <c r="AN313" s="28">
        <v>0</v>
      </c>
      <c r="AO313" s="28">
        <v>0</v>
      </c>
      <c r="AP313" s="28">
        <v>0</v>
      </c>
      <c r="AQ313">
        <v>0</v>
      </c>
      <c r="AR313">
        <v>0</v>
      </c>
      <c r="AS313">
        <v>0</v>
      </c>
      <c r="AT313">
        <v>0</v>
      </c>
    </row>
    <row r="314" spans="1:46" ht="15.75" x14ac:dyDescent="0.25">
      <c r="A314" t="s">
        <v>873</v>
      </c>
      <c r="B314" t="s">
        <v>874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s="28">
        <v>0</v>
      </c>
      <c r="AJ314" s="28">
        <v>0</v>
      </c>
      <c r="AK314" s="28">
        <v>0</v>
      </c>
      <c r="AL314" s="28">
        <v>0</v>
      </c>
      <c r="AM314" s="28">
        <v>0</v>
      </c>
      <c r="AN314" s="28">
        <v>0</v>
      </c>
      <c r="AO314" s="28">
        <v>0</v>
      </c>
      <c r="AP314" s="28">
        <v>0</v>
      </c>
      <c r="AQ314">
        <v>0</v>
      </c>
      <c r="AR314">
        <v>0</v>
      </c>
      <c r="AS314">
        <v>0</v>
      </c>
      <c r="AT314">
        <v>0</v>
      </c>
    </row>
    <row r="315" spans="1:46" ht="15.75" x14ac:dyDescent="0.25">
      <c r="A315" t="s">
        <v>875</v>
      </c>
      <c r="B315" t="s">
        <v>876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s="28">
        <v>0</v>
      </c>
      <c r="AJ315" s="28">
        <v>0</v>
      </c>
      <c r="AK315" s="28">
        <v>0</v>
      </c>
      <c r="AL315" s="28">
        <v>0</v>
      </c>
      <c r="AM315" s="28">
        <v>0</v>
      </c>
      <c r="AN315" s="28">
        <v>0</v>
      </c>
      <c r="AO315" s="28">
        <v>0</v>
      </c>
      <c r="AP315" s="28">
        <v>0</v>
      </c>
      <c r="AQ315">
        <v>0</v>
      </c>
      <c r="AR315">
        <v>0</v>
      </c>
      <c r="AS315">
        <v>0</v>
      </c>
      <c r="AT315">
        <v>0</v>
      </c>
    </row>
    <row r="316" spans="1:46" ht="15.75" x14ac:dyDescent="0.25">
      <c r="A316" t="s">
        <v>877</v>
      </c>
      <c r="B316" t="s">
        <v>878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s="28">
        <v>0</v>
      </c>
      <c r="AJ316" s="28">
        <v>0</v>
      </c>
      <c r="AK316" s="28">
        <v>0</v>
      </c>
      <c r="AL316" s="28">
        <v>0</v>
      </c>
      <c r="AM316" s="28">
        <v>0</v>
      </c>
      <c r="AN316" s="28">
        <v>0</v>
      </c>
      <c r="AO316" s="28">
        <v>0</v>
      </c>
      <c r="AP316" s="28">
        <v>0</v>
      </c>
      <c r="AQ316">
        <v>0</v>
      </c>
      <c r="AR316">
        <v>0</v>
      </c>
      <c r="AS316">
        <v>0</v>
      </c>
      <c r="AT316">
        <v>0</v>
      </c>
    </row>
    <row r="317" spans="1:46" ht="15.75" x14ac:dyDescent="0.25">
      <c r="A317" t="s">
        <v>879</v>
      </c>
      <c r="B317" t="s">
        <v>880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-2</v>
      </c>
      <c r="AI317" s="28">
        <v>0</v>
      </c>
      <c r="AJ317" s="28">
        <v>0</v>
      </c>
      <c r="AK317" s="28">
        <v>0</v>
      </c>
      <c r="AL317" s="28">
        <v>0</v>
      </c>
      <c r="AM317" s="28">
        <v>0</v>
      </c>
      <c r="AN317" s="28">
        <v>0</v>
      </c>
      <c r="AO317" s="28">
        <v>0</v>
      </c>
      <c r="AP317" s="28">
        <v>0</v>
      </c>
      <c r="AQ317">
        <v>0</v>
      </c>
      <c r="AR317">
        <v>0</v>
      </c>
      <c r="AS317">
        <v>0</v>
      </c>
      <c r="AT317">
        <v>0</v>
      </c>
    </row>
    <row r="318" spans="1:46" ht="15.75" x14ac:dyDescent="0.25">
      <c r="A318" t="s">
        <v>881</v>
      </c>
      <c r="B318" t="s">
        <v>882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</v>
      </c>
      <c r="AE318">
        <v>0</v>
      </c>
      <c r="AF318">
        <v>0</v>
      </c>
      <c r="AG318">
        <v>0</v>
      </c>
      <c r="AH318">
        <v>0</v>
      </c>
      <c r="AI318" s="28">
        <v>0</v>
      </c>
      <c r="AJ318" s="28">
        <v>0</v>
      </c>
      <c r="AK318" s="28">
        <v>0</v>
      </c>
      <c r="AL318" s="28">
        <v>0</v>
      </c>
      <c r="AM318" s="28">
        <v>0</v>
      </c>
      <c r="AN318" s="28">
        <v>0</v>
      </c>
      <c r="AO318" s="28">
        <v>0</v>
      </c>
      <c r="AP318" s="28">
        <v>0</v>
      </c>
      <c r="AQ318">
        <v>0</v>
      </c>
      <c r="AR318">
        <v>0</v>
      </c>
      <c r="AS318">
        <v>0</v>
      </c>
      <c r="AT318">
        <v>0</v>
      </c>
    </row>
    <row r="319" spans="1:46" ht="15.75" x14ac:dyDescent="0.25">
      <c r="A319" t="s">
        <v>883</v>
      </c>
      <c r="B319" t="s">
        <v>884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s="28">
        <v>0</v>
      </c>
      <c r="AJ319" s="28">
        <v>0</v>
      </c>
      <c r="AK319" s="28">
        <v>0</v>
      </c>
      <c r="AL319" s="28">
        <v>0</v>
      </c>
      <c r="AM319" s="28">
        <v>0</v>
      </c>
      <c r="AN319" s="28">
        <v>0</v>
      </c>
      <c r="AO319" s="28">
        <v>0</v>
      </c>
      <c r="AP319" s="28">
        <v>0</v>
      </c>
      <c r="AQ319">
        <v>0</v>
      </c>
      <c r="AR319">
        <v>0</v>
      </c>
      <c r="AS319">
        <v>0</v>
      </c>
      <c r="AT319">
        <v>0</v>
      </c>
    </row>
    <row r="320" spans="1:46" ht="15.75" x14ac:dyDescent="0.25">
      <c r="A320" t="s">
        <v>885</v>
      </c>
      <c r="B320" t="s">
        <v>886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 s="28">
        <v>0</v>
      </c>
      <c r="AJ320" s="28">
        <v>0</v>
      </c>
      <c r="AK320" s="28">
        <v>0</v>
      </c>
      <c r="AL320" s="28">
        <v>0</v>
      </c>
      <c r="AM320" s="28">
        <v>0</v>
      </c>
      <c r="AN320" s="28">
        <v>0</v>
      </c>
      <c r="AO320" s="28">
        <v>0</v>
      </c>
      <c r="AP320" s="28">
        <v>0</v>
      </c>
      <c r="AQ320">
        <v>0</v>
      </c>
      <c r="AR320">
        <v>0</v>
      </c>
      <c r="AS320">
        <v>0</v>
      </c>
      <c r="AT320">
        <v>0</v>
      </c>
    </row>
    <row r="321" spans="1:46" ht="15.75" x14ac:dyDescent="0.25">
      <c r="A321" t="s">
        <v>887</v>
      </c>
      <c r="B321" t="s">
        <v>888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s="28">
        <v>0</v>
      </c>
      <c r="AJ321" s="28">
        <v>0</v>
      </c>
      <c r="AK321" s="28">
        <v>0</v>
      </c>
      <c r="AL321" s="28">
        <v>0</v>
      </c>
      <c r="AM321" s="28">
        <v>0</v>
      </c>
      <c r="AN321" s="28">
        <v>0</v>
      </c>
      <c r="AO321" s="28">
        <v>0</v>
      </c>
      <c r="AP321" s="28">
        <v>0</v>
      </c>
      <c r="AQ321">
        <v>0</v>
      </c>
      <c r="AR321">
        <v>0</v>
      </c>
      <c r="AS321">
        <v>0</v>
      </c>
      <c r="AT321">
        <v>0</v>
      </c>
    </row>
    <row r="322" spans="1:46" ht="15.75" x14ac:dyDescent="0.25">
      <c r="A322" t="s">
        <v>889</v>
      </c>
      <c r="B322" t="s">
        <v>890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-1</v>
      </c>
      <c r="AI322" s="28">
        <v>0</v>
      </c>
      <c r="AJ322" s="28">
        <v>0</v>
      </c>
      <c r="AK322" s="28">
        <v>0</v>
      </c>
      <c r="AL322" s="28">
        <v>0</v>
      </c>
      <c r="AM322" s="28">
        <v>0</v>
      </c>
      <c r="AN322" s="28">
        <v>0</v>
      </c>
      <c r="AO322" s="28">
        <v>0</v>
      </c>
      <c r="AP322" s="28">
        <v>0</v>
      </c>
      <c r="AQ322">
        <v>0</v>
      </c>
      <c r="AR322">
        <v>0</v>
      </c>
      <c r="AS322">
        <v>0</v>
      </c>
      <c r="AT322">
        <v>0</v>
      </c>
    </row>
    <row r="323" spans="1:46" ht="15.75" x14ac:dyDescent="0.25">
      <c r="A323" t="s">
        <v>891</v>
      </c>
      <c r="B323" t="s">
        <v>892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s="28">
        <v>0</v>
      </c>
      <c r="AJ323" s="28">
        <v>0</v>
      </c>
      <c r="AK323" s="28">
        <v>0</v>
      </c>
      <c r="AL323" s="28">
        <v>0</v>
      </c>
      <c r="AM323" s="28">
        <v>0</v>
      </c>
      <c r="AN323" s="28">
        <v>0</v>
      </c>
      <c r="AO323" s="28">
        <v>0</v>
      </c>
      <c r="AP323" s="28">
        <v>0</v>
      </c>
      <c r="AQ323">
        <v>0</v>
      </c>
      <c r="AR323">
        <v>0</v>
      </c>
      <c r="AS323">
        <v>0</v>
      </c>
      <c r="AT323">
        <v>0</v>
      </c>
    </row>
    <row r="324" spans="1:46" ht="15.75" x14ac:dyDescent="0.25">
      <c r="A324" t="s">
        <v>893</v>
      </c>
      <c r="B324" t="s">
        <v>894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s="28">
        <v>0</v>
      </c>
      <c r="AJ324" s="28">
        <v>0</v>
      </c>
      <c r="AK324" s="28">
        <v>0</v>
      </c>
      <c r="AL324" s="28">
        <v>0</v>
      </c>
      <c r="AM324" s="28">
        <v>0</v>
      </c>
      <c r="AN324" s="28">
        <v>0</v>
      </c>
      <c r="AO324" s="28">
        <v>0</v>
      </c>
      <c r="AP324" s="28">
        <v>0</v>
      </c>
      <c r="AQ324">
        <v>0</v>
      </c>
      <c r="AR324">
        <v>0</v>
      </c>
      <c r="AS324">
        <v>0</v>
      </c>
      <c r="AT324">
        <v>0</v>
      </c>
    </row>
    <row r="325" spans="1:46" ht="15.75" x14ac:dyDescent="0.25">
      <c r="A325" t="s">
        <v>895</v>
      </c>
      <c r="B325" t="s">
        <v>896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s="28">
        <v>0</v>
      </c>
      <c r="AJ325" s="28">
        <v>0</v>
      </c>
      <c r="AK325" s="28">
        <v>0</v>
      </c>
      <c r="AL325" s="28">
        <v>0</v>
      </c>
      <c r="AM325" s="28">
        <v>0</v>
      </c>
      <c r="AN325" s="28">
        <v>0</v>
      </c>
      <c r="AO325" s="28">
        <v>0</v>
      </c>
      <c r="AP325" s="28">
        <v>0</v>
      </c>
      <c r="AQ325">
        <v>0</v>
      </c>
      <c r="AR325">
        <v>0</v>
      </c>
      <c r="AS325">
        <v>0</v>
      </c>
      <c r="AT325">
        <v>0</v>
      </c>
    </row>
    <row r="326" spans="1:46" ht="15.75" x14ac:dyDescent="0.25">
      <c r="A326" t="s">
        <v>897</v>
      </c>
      <c r="B326" t="s">
        <v>898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s="28">
        <v>0</v>
      </c>
      <c r="AJ326" s="28">
        <v>0</v>
      </c>
      <c r="AK326" s="28">
        <v>0</v>
      </c>
      <c r="AL326" s="28">
        <v>0</v>
      </c>
      <c r="AM326" s="28">
        <v>0</v>
      </c>
      <c r="AN326" s="28">
        <v>0</v>
      </c>
      <c r="AO326" s="28">
        <v>0</v>
      </c>
      <c r="AP326" s="28">
        <v>0</v>
      </c>
      <c r="AQ326">
        <v>0</v>
      </c>
      <c r="AR326">
        <v>0</v>
      </c>
      <c r="AS326">
        <v>0</v>
      </c>
      <c r="AT326">
        <v>0</v>
      </c>
    </row>
    <row r="327" spans="1:46" ht="15.75" x14ac:dyDescent="0.25">
      <c r="A327" t="s">
        <v>899</v>
      </c>
      <c r="B327" t="s">
        <v>900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s="28">
        <v>0</v>
      </c>
      <c r="AJ327" s="28">
        <v>0</v>
      </c>
      <c r="AK327" s="28">
        <v>0</v>
      </c>
      <c r="AL327" s="28">
        <v>0</v>
      </c>
      <c r="AM327" s="28">
        <v>0</v>
      </c>
      <c r="AN327" s="28">
        <v>0</v>
      </c>
      <c r="AO327" s="28">
        <v>0</v>
      </c>
      <c r="AP327" s="28">
        <v>0</v>
      </c>
      <c r="AQ327">
        <v>0</v>
      </c>
      <c r="AR327">
        <v>0</v>
      </c>
      <c r="AS327">
        <v>0</v>
      </c>
      <c r="AT327">
        <v>0</v>
      </c>
    </row>
    <row r="328" spans="1:46" ht="15.75" x14ac:dyDescent="0.25">
      <c r="A328" t="s">
        <v>901</v>
      </c>
      <c r="B328" t="s">
        <v>902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 s="28">
        <v>0</v>
      </c>
      <c r="AJ328" s="28">
        <v>0</v>
      </c>
      <c r="AK328" s="28">
        <v>0</v>
      </c>
      <c r="AL328" s="28">
        <v>0</v>
      </c>
      <c r="AM328" s="28">
        <v>0</v>
      </c>
      <c r="AN328" s="28">
        <v>0</v>
      </c>
      <c r="AO328" s="28">
        <v>0</v>
      </c>
      <c r="AP328" s="28">
        <v>0</v>
      </c>
      <c r="AQ328">
        <v>0</v>
      </c>
      <c r="AR328">
        <v>0</v>
      </c>
      <c r="AS328">
        <v>0</v>
      </c>
      <c r="AT328">
        <v>0</v>
      </c>
    </row>
    <row r="329" spans="1:46" ht="15.75" x14ac:dyDescent="0.25">
      <c r="A329" t="s">
        <v>903</v>
      </c>
      <c r="B329" t="s">
        <v>904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 s="28">
        <v>0</v>
      </c>
      <c r="AJ329" s="28">
        <v>0</v>
      </c>
      <c r="AK329" s="28">
        <v>0</v>
      </c>
      <c r="AL329" s="28">
        <v>0</v>
      </c>
      <c r="AM329" s="28">
        <v>0</v>
      </c>
      <c r="AN329" s="28">
        <v>0</v>
      </c>
      <c r="AO329" s="28">
        <v>0</v>
      </c>
      <c r="AP329" s="28">
        <v>0</v>
      </c>
      <c r="AQ329">
        <v>0</v>
      </c>
      <c r="AR329">
        <v>0</v>
      </c>
      <c r="AS329">
        <v>0</v>
      </c>
      <c r="AT329">
        <v>0</v>
      </c>
    </row>
    <row r="330" spans="1:46" ht="15.75" x14ac:dyDescent="0.25">
      <c r="A330" t="s">
        <v>905</v>
      </c>
      <c r="B330" t="s">
        <v>906</v>
      </c>
      <c r="C330">
        <v>0</v>
      </c>
      <c r="D330">
        <v>-1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</v>
      </c>
      <c r="AE330">
        <v>0</v>
      </c>
      <c r="AF330">
        <v>0</v>
      </c>
      <c r="AG330">
        <v>0</v>
      </c>
      <c r="AH330">
        <v>0</v>
      </c>
      <c r="AI330" s="28">
        <v>0</v>
      </c>
      <c r="AJ330" s="28">
        <v>0</v>
      </c>
      <c r="AK330" s="28">
        <v>0</v>
      </c>
      <c r="AL330" s="28">
        <v>0</v>
      </c>
      <c r="AM330" s="28">
        <v>0</v>
      </c>
      <c r="AN330" s="28">
        <v>0</v>
      </c>
      <c r="AO330" s="28">
        <v>0</v>
      </c>
      <c r="AP330" s="28">
        <v>0</v>
      </c>
      <c r="AQ330">
        <v>0</v>
      </c>
      <c r="AR330">
        <v>0</v>
      </c>
      <c r="AS330">
        <v>0</v>
      </c>
      <c r="AT330">
        <v>0</v>
      </c>
    </row>
    <row r="331" spans="1:46" ht="15.75" x14ac:dyDescent="0.25">
      <c r="A331" t="s">
        <v>907</v>
      </c>
      <c r="B331" t="s">
        <v>908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-1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 s="28">
        <v>0</v>
      </c>
      <c r="AJ331" s="28">
        <v>0</v>
      </c>
      <c r="AK331" s="28">
        <v>0</v>
      </c>
      <c r="AL331" s="28">
        <v>0</v>
      </c>
      <c r="AM331" s="28">
        <v>0</v>
      </c>
      <c r="AN331" s="28">
        <v>0</v>
      </c>
      <c r="AO331" s="28">
        <v>0</v>
      </c>
      <c r="AP331" s="28">
        <v>0</v>
      </c>
      <c r="AQ331">
        <v>0</v>
      </c>
      <c r="AR331">
        <v>0</v>
      </c>
      <c r="AS331">
        <v>0</v>
      </c>
      <c r="AT331">
        <v>0</v>
      </c>
    </row>
    <row r="332" spans="1:46" ht="15.75" x14ac:dyDescent="0.25">
      <c r="A332" t="s">
        <v>909</v>
      </c>
      <c r="B332" t="s">
        <v>910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s="28">
        <v>0</v>
      </c>
      <c r="AJ332" s="28">
        <v>0</v>
      </c>
      <c r="AK332" s="28">
        <v>0</v>
      </c>
      <c r="AL332" s="28">
        <v>0</v>
      </c>
      <c r="AM332" s="28">
        <v>0</v>
      </c>
      <c r="AN332" s="28">
        <v>0</v>
      </c>
      <c r="AO332" s="28">
        <v>0</v>
      </c>
      <c r="AP332" s="28">
        <v>0</v>
      </c>
      <c r="AQ332">
        <v>0</v>
      </c>
      <c r="AR332">
        <v>0</v>
      </c>
      <c r="AS332">
        <v>0</v>
      </c>
      <c r="AT332">
        <v>0</v>
      </c>
    </row>
    <row r="333" spans="1:46" ht="15.75" x14ac:dyDescent="0.25">
      <c r="A333" t="s">
        <v>911</v>
      </c>
      <c r="B333" t="s">
        <v>912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-6</v>
      </c>
      <c r="AI333" s="28">
        <v>0</v>
      </c>
      <c r="AJ333" s="28">
        <v>0</v>
      </c>
      <c r="AK333" s="28">
        <v>0</v>
      </c>
      <c r="AL333" s="28">
        <v>0</v>
      </c>
      <c r="AM333" s="28">
        <v>0</v>
      </c>
      <c r="AN333" s="28">
        <v>0</v>
      </c>
      <c r="AO333" s="28">
        <v>0</v>
      </c>
      <c r="AP333" s="28">
        <v>0</v>
      </c>
      <c r="AQ333">
        <v>0</v>
      </c>
      <c r="AR333">
        <v>0</v>
      </c>
      <c r="AS333">
        <v>0</v>
      </c>
      <c r="AT333">
        <v>0</v>
      </c>
    </row>
    <row r="334" spans="1:46" ht="15.75" x14ac:dyDescent="0.25">
      <c r="A334" t="s">
        <v>913</v>
      </c>
      <c r="B334" t="s">
        <v>914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s="28">
        <v>0</v>
      </c>
      <c r="AJ334" s="28">
        <v>0</v>
      </c>
      <c r="AK334" s="28">
        <v>0</v>
      </c>
      <c r="AL334" s="28">
        <v>0</v>
      </c>
      <c r="AM334" s="28">
        <v>0</v>
      </c>
      <c r="AN334" s="28">
        <v>0</v>
      </c>
      <c r="AO334" s="28">
        <v>0</v>
      </c>
      <c r="AP334" s="28">
        <v>0</v>
      </c>
      <c r="AQ334">
        <v>0</v>
      </c>
      <c r="AR334">
        <v>0</v>
      </c>
      <c r="AS334">
        <v>0</v>
      </c>
      <c r="AT334">
        <v>0</v>
      </c>
    </row>
    <row r="335" spans="1:46" ht="15.75" x14ac:dyDescent="0.25">
      <c r="A335" t="s">
        <v>915</v>
      </c>
      <c r="B335" t="s">
        <v>916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s="28">
        <v>0</v>
      </c>
      <c r="AJ335" s="28">
        <v>0</v>
      </c>
      <c r="AK335" s="28">
        <v>0</v>
      </c>
      <c r="AL335" s="28">
        <v>0</v>
      </c>
      <c r="AM335" s="28">
        <v>0</v>
      </c>
      <c r="AN335" s="28">
        <v>0</v>
      </c>
      <c r="AO335" s="28">
        <v>0</v>
      </c>
      <c r="AP335" s="28">
        <v>0</v>
      </c>
      <c r="AQ335">
        <v>0</v>
      </c>
      <c r="AR335">
        <v>0</v>
      </c>
      <c r="AS335">
        <v>0</v>
      </c>
      <c r="AT335">
        <v>0</v>
      </c>
    </row>
    <row r="336" spans="1:46" ht="15.75" x14ac:dyDescent="0.25">
      <c r="A336" t="s">
        <v>917</v>
      </c>
      <c r="B336" t="s">
        <v>918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s="28">
        <v>0</v>
      </c>
      <c r="AJ336" s="28">
        <v>0</v>
      </c>
      <c r="AK336" s="28">
        <v>0</v>
      </c>
      <c r="AL336" s="28">
        <v>0</v>
      </c>
      <c r="AM336" s="28">
        <v>0</v>
      </c>
      <c r="AN336" s="28">
        <v>0</v>
      </c>
      <c r="AO336" s="28">
        <v>0</v>
      </c>
      <c r="AP336" s="28">
        <v>0</v>
      </c>
      <c r="AQ336">
        <v>0</v>
      </c>
      <c r="AR336">
        <v>0</v>
      </c>
      <c r="AS336">
        <v>0</v>
      </c>
      <c r="AT336">
        <v>0</v>
      </c>
    </row>
    <row r="337" spans="1:46" ht="15.75" x14ac:dyDescent="0.25">
      <c r="A337" t="s">
        <v>919</v>
      </c>
      <c r="B337" t="s">
        <v>920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s="28">
        <v>0</v>
      </c>
      <c r="AJ337" s="28">
        <v>0</v>
      </c>
      <c r="AK337" s="28">
        <v>0</v>
      </c>
      <c r="AL337" s="28">
        <v>0</v>
      </c>
      <c r="AM337" s="28">
        <v>0</v>
      </c>
      <c r="AN337" s="28">
        <v>0</v>
      </c>
      <c r="AO337" s="28">
        <v>0</v>
      </c>
      <c r="AP337" s="28">
        <v>0</v>
      </c>
      <c r="AQ337">
        <v>0</v>
      </c>
      <c r="AR337">
        <v>0</v>
      </c>
      <c r="AS337">
        <v>0</v>
      </c>
      <c r="AT337">
        <v>0</v>
      </c>
    </row>
    <row r="338" spans="1:46" ht="15.75" x14ac:dyDescent="0.25">
      <c r="A338" t="s">
        <v>921</v>
      </c>
      <c r="B338" t="s">
        <v>922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s="28">
        <v>0</v>
      </c>
      <c r="AJ338" s="28">
        <v>0</v>
      </c>
      <c r="AK338" s="28">
        <v>0</v>
      </c>
      <c r="AL338" s="28">
        <v>0</v>
      </c>
      <c r="AM338" s="28">
        <v>0</v>
      </c>
      <c r="AN338" s="28">
        <v>0</v>
      </c>
      <c r="AO338" s="28">
        <v>0</v>
      </c>
      <c r="AP338" s="28">
        <v>0</v>
      </c>
      <c r="AQ338">
        <v>0</v>
      </c>
      <c r="AR338">
        <v>0</v>
      </c>
      <c r="AS338">
        <v>0</v>
      </c>
      <c r="AT338">
        <v>0</v>
      </c>
    </row>
    <row r="339" spans="1:46" ht="15.75" x14ac:dyDescent="0.25">
      <c r="A339" t="s">
        <v>12</v>
      </c>
      <c r="B339" t="s">
        <v>13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s="28">
        <v>0</v>
      </c>
      <c r="AJ339" s="28">
        <v>0</v>
      </c>
      <c r="AK339" s="28">
        <v>0</v>
      </c>
      <c r="AL339" s="28">
        <v>0</v>
      </c>
      <c r="AM339" s="28">
        <v>0</v>
      </c>
      <c r="AN339" s="28">
        <v>0</v>
      </c>
      <c r="AO339" s="28">
        <v>0</v>
      </c>
      <c r="AP339" s="28">
        <v>0</v>
      </c>
      <c r="AQ339">
        <v>0</v>
      </c>
      <c r="AR339">
        <v>0</v>
      </c>
      <c r="AS339">
        <v>0</v>
      </c>
      <c r="AT339">
        <v>0</v>
      </c>
    </row>
    <row r="340" spans="1:46" ht="15.75" x14ac:dyDescent="0.25">
      <c r="A340" t="s">
        <v>923</v>
      </c>
      <c r="B340" t="s">
        <v>924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s="28">
        <v>0</v>
      </c>
      <c r="AJ340" s="28">
        <v>0</v>
      </c>
      <c r="AK340" s="28">
        <v>0</v>
      </c>
      <c r="AL340" s="28">
        <v>0</v>
      </c>
      <c r="AM340" s="28">
        <v>0</v>
      </c>
      <c r="AN340" s="28">
        <v>0</v>
      </c>
      <c r="AO340" s="28">
        <v>0</v>
      </c>
      <c r="AP340" s="28">
        <v>0</v>
      </c>
      <c r="AQ340">
        <v>0</v>
      </c>
      <c r="AR340">
        <v>0</v>
      </c>
      <c r="AS340">
        <v>0</v>
      </c>
      <c r="AT340">
        <v>0</v>
      </c>
    </row>
    <row r="341" spans="1:46" ht="15.75" x14ac:dyDescent="0.25">
      <c r="A341" t="s">
        <v>925</v>
      </c>
      <c r="B341" t="s">
        <v>926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s="28">
        <v>0</v>
      </c>
      <c r="AJ341" s="28">
        <v>0</v>
      </c>
      <c r="AK341" s="28">
        <v>0</v>
      </c>
      <c r="AL341" s="28">
        <v>0</v>
      </c>
      <c r="AM341" s="28">
        <v>0</v>
      </c>
      <c r="AN341" s="28">
        <v>0</v>
      </c>
      <c r="AO341" s="28">
        <v>0</v>
      </c>
      <c r="AP341" s="28">
        <v>0</v>
      </c>
      <c r="AQ341">
        <v>0</v>
      </c>
      <c r="AR341">
        <v>0</v>
      </c>
      <c r="AS341">
        <v>0</v>
      </c>
      <c r="AT341">
        <v>0</v>
      </c>
    </row>
    <row r="342" spans="1:46" ht="15.75" x14ac:dyDescent="0.25">
      <c r="A342" t="s">
        <v>927</v>
      </c>
      <c r="B342" t="s">
        <v>928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s="28">
        <v>0</v>
      </c>
      <c r="AJ342" s="28">
        <v>0</v>
      </c>
      <c r="AK342" s="28">
        <v>0</v>
      </c>
      <c r="AL342" s="28">
        <v>0</v>
      </c>
      <c r="AM342" s="28">
        <v>0</v>
      </c>
      <c r="AN342" s="28">
        <v>0</v>
      </c>
      <c r="AO342" s="28">
        <v>0</v>
      </c>
      <c r="AP342" s="28">
        <v>0</v>
      </c>
      <c r="AQ342">
        <v>0</v>
      </c>
      <c r="AR342">
        <v>0</v>
      </c>
      <c r="AS342">
        <v>0</v>
      </c>
      <c r="AT342">
        <v>0</v>
      </c>
    </row>
    <row r="343" spans="1:46" ht="15.75" x14ac:dyDescent="0.25">
      <c r="A343" t="s">
        <v>929</v>
      </c>
      <c r="B343" t="s">
        <v>930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s="28">
        <v>0</v>
      </c>
      <c r="AJ343" s="28">
        <v>0</v>
      </c>
      <c r="AK343" s="28">
        <v>0</v>
      </c>
      <c r="AL343" s="28">
        <v>0</v>
      </c>
      <c r="AM343" s="28">
        <v>0</v>
      </c>
      <c r="AN343" s="28">
        <v>0</v>
      </c>
      <c r="AO343" s="28">
        <v>0</v>
      </c>
      <c r="AP343" s="28">
        <v>0</v>
      </c>
      <c r="AQ343">
        <v>0</v>
      </c>
      <c r="AR343">
        <v>0</v>
      </c>
      <c r="AS343">
        <v>0</v>
      </c>
      <c r="AT343">
        <v>0</v>
      </c>
    </row>
    <row r="344" spans="1:46" ht="15.75" x14ac:dyDescent="0.25">
      <c r="A344" t="s">
        <v>931</v>
      </c>
      <c r="B344" t="s">
        <v>932</v>
      </c>
      <c r="C344">
        <v>1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s="28">
        <v>0</v>
      </c>
      <c r="AJ344" s="28">
        <v>0</v>
      </c>
      <c r="AK344" s="28">
        <v>0</v>
      </c>
      <c r="AL344" s="28">
        <v>0</v>
      </c>
      <c r="AM344" s="28">
        <v>0</v>
      </c>
      <c r="AN344" s="28">
        <v>0</v>
      </c>
      <c r="AO344" s="28">
        <v>0</v>
      </c>
      <c r="AP344" s="28">
        <v>0</v>
      </c>
      <c r="AQ344">
        <v>0</v>
      </c>
      <c r="AR344">
        <v>0</v>
      </c>
      <c r="AS344">
        <v>0</v>
      </c>
      <c r="AT344">
        <v>0</v>
      </c>
    </row>
    <row r="345" spans="1:46" ht="15.75" x14ac:dyDescent="0.25">
      <c r="A345" t="s">
        <v>14</v>
      </c>
      <c r="B345" t="s">
        <v>15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s="28">
        <v>0</v>
      </c>
      <c r="AJ345" s="28">
        <v>0</v>
      </c>
      <c r="AK345" s="28">
        <v>0</v>
      </c>
      <c r="AL345" s="28">
        <v>0</v>
      </c>
      <c r="AM345" s="28">
        <v>0</v>
      </c>
      <c r="AN345" s="28">
        <v>0</v>
      </c>
      <c r="AO345" s="28">
        <v>0</v>
      </c>
      <c r="AP345" s="28">
        <v>0</v>
      </c>
      <c r="AQ345">
        <v>0</v>
      </c>
      <c r="AR345">
        <v>0</v>
      </c>
      <c r="AS345">
        <v>0</v>
      </c>
      <c r="AT345">
        <v>0</v>
      </c>
    </row>
    <row r="346" spans="1:46" ht="15.75" x14ac:dyDescent="0.25">
      <c r="A346" t="s">
        <v>933</v>
      </c>
      <c r="B346" t="s">
        <v>934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s="28">
        <v>0</v>
      </c>
      <c r="AJ346" s="28">
        <v>0</v>
      </c>
      <c r="AK346" s="28">
        <v>0</v>
      </c>
      <c r="AL346" s="28">
        <v>0</v>
      </c>
      <c r="AM346" s="28">
        <v>0</v>
      </c>
      <c r="AN346" s="28">
        <v>0</v>
      </c>
      <c r="AO346" s="28">
        <v>0</v>
      </c>
      <c r="AP346" s="28">
        <v>0</v>
      </c>
      <c r="AQ346">
        <v>0</v>
      </c>
      <c r="AR346">
        <v>0</v>
      </c>
      <c r="AS346">
        <v>0</v>
      </c>
      <c r="AT346">
        <v>0</v>
      </c>
    </row>
    <row r="347" spans="1:46" ht="15.75" x14ac:dyDescent="0.25">
      <c r="A347" t="s">
        <v>935</v>
      </c>
      <c r="B347" t="s">
        <v>936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s="28">
        <v>0</v>
      </c>
      <c r="AJ347" s="28">
        <v>0</v>
      </c>
      <c r="AK347" s="28">
        <v>0</v>
      </c>
      <c r="AL347" s="28">
        <v>0</v>
      </c>
      <c r="AM347" s="28">
        <v>0</v>
      </c>
      <c r="AN347" s="28">
        <v>0</v>
      </c>
      <c r="AO347" s="28">
        <v>0</v>
      </c>
      <c r="AP347" s="28">
        <v>0</v>
      </c>
      <c r="AQ347">
        <v>0</v>
      </c>
      <c r="AR347">
        <v>0</v>
      </c>
      <c r="AS347">
        <v>0</v>
      </c>
      <c r="AT347">
        <v>0</v>
      </c>
    </row>
    <row r="348" spans="1:46" ht="15.75" x14ac:dyDescent="0.25">
      <c r="A348" t="s">
        <v>937</v>
      </c>
      <c r="B348" t="s">
        <v>938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s="28">
        <v>0</v>
      </c>
      <c r="AJ348" s="28">
        <v>0</v>
      </c>
      <c r="AK348" s="28">
        <v>0</v>
      </c>
      <c r="AL348" s="28">
        <v>0</v>
      </c>
      <c r="AM348" s="28">
        <v>0</v>
      </c>
      <c r="AN348" s="28">
        <v>0</v>
      </c>
      <c r="AO348" s="28">
        <v>0</v>
      </c>
      <c r="AP348" s="28">
        <v>0</v>
      </c>
      <c r="AQ348">
        <v>0</v>
      </c>
      <c r="AR348">
        <v>0</v>
      </c>
      <c r="AS348">
        <v>0</v>
      </c>
      <c r="AT348">
        <v>0</v>
      </c>
    </row>
    <row r="349" spans="1:46" ht="15.75" x14ac:dyDescent="0.25">
      <c r="A349" t="s">
        <v>939</v>
      </c>
      <c r="B349" t="s">
        <v>940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s="28">
        <v>0</v>
      </c>
      <c r="AJ349" s="28">
        <v>0</v>
      </c>
      <c r="AK349" s="28">
        <v>0</v>
      </c>
      <c r="AL349" s="28">
        <v>0</v>
      </c>
      <c r="AM349" s="28">
        <v>0</v>
      </c>
      <c r="AN349" s="28">
        <v>0</v>
      </c>
      <c r="AO349" s="28">
        <v>0</v>
      </c>
      <c r="AP349" s="28">
        <v>0</v>
      </c>
      <c r="AQ349">
        <v>0</v>
      </c>
      <c r="AR349">
        <v>0</v>
      </c>
      <c r="AS349">
        <v>0</v>
      </c>
      <c r="AT349">
        <v>0</v>
      </c>
    </row>
    <row r="350" spans="1:46" ht="15.75" x14ac:dyDescent="0.25">
      <c r="A350" t="s">
        <v>941</v>
      </c>
      <c r="B350" t="s">
        <v>942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s="28">
        <v>0</v>
      </c>
      <c r="AJ350" s="28">
        <v>0</v>
      </c>
      <c r="AK350" s="28">
        <v>0</v>
      </c>
      <c r="AL350" s="28">
        <v>0</v>
      </c>
      <c r="AM350" s="28">
        <v>0</v>
      </c>
      <c r="AN350" s="28">
        <v>0</v>
      </c>
      <c r="AO350" s="28">
        <v>0</v>
      </c>
      <c r="AP350" s="28">
        <v>0</v>
      </c>
      <c r="AQ350">
        <v>0</v>
      </c>
      <c r="AR350">
        <v>0</v>
      </c>
      <c r="AS350">
        <v>0</v>
      </c>
      <c r="AT350">
        <v>0</v>
      </c>
    </row>
    <row r="351" spans="1:46" ht="15.75" x14ac:dyDescent="0.25">
      <c r="A351" t="s">
        <v>943</v>
      </c>
      <c r="B351" t="s">
        <v>944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s="28">
        <v>0</v>
      </c>
      <c r="AJ351" s="28">
        <v>0</v>
      </c>
      <c r="AK351" s="28">
        <v>0</v>
      </c>
      <c r="AL351" s="28">
        <v>0</v>
      </c>
      <c r="AM351" s="28">
        <v>0</v>
      </c>
      <c r="AN351" s="28">
        <v>0</v>
      </c>
      <c r="AO351" s="28">
        <v>0</v>
      </c>
      <c r="AP351" s="28">
        <v>0</v>
      </c>
      <c r="AQ351">
        <v>0</v>
      </c>
      <c r="AR351">
        <v>0</v>
      </c>
      <c r="AS351">
        <v>0</v>
      </c>
      <c r="AT351">
        <v>0</v>
      </c>
    </row>
    <row r="352" spans="1:46" ht="15.75" x14ac:dyDescent="0.25">
      <c r="A352" t="s">
        <v>945</v>
      </c>
      <c r="B352" t="s">
        <v>946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-1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s="28">
        <v>0</v>
      </c>
      <c r="AJ352" s="28">
        <v>0</v>
      </c>
      <c r="AK352" s="28">
        <v>0</v>
      </c>
      <c r="AL352" s="28">
        <v>0</v>
      </c>
      <c r="AM352" s="28">
        <v>0</v>
      </c>
      <c r="AN352" s="28">
        <v>0</v>
      </c>
      <c r="AO352" s="28">
        <v>0</v>
      </c>
      <c r="AP352" s="28">
        <v>0</v>
      </c>
      <c r="AQ352">
        <v>0</v>
      </c>
      <c r="AR352">
        <v>0</v>
      </c>
      <c r="AS352">
        <v>0</v>
      </c>
      <c r="AT352">
        <v>0</v>
      </c>
    </row>
    <row r="353" spans="1:46" ht="15.75" x14ac:dyDescent="0.25">
      <c r="A353" t="s">
        <v>947</v>
      </c>
      <c r="B353" t="s">
        <v>948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s="28">
        <v>0</v>
      </c>
      <c r="AJ353" s="28">
        <v>0</v>
      </c>
      <c r="AK353" s="28">
        <v>0</v>
      </c>
      <c r="AL353" s="28">
        <v>0</v>
      </c>
      <c r="AM353" s="28">
        <v>0</v>
      </c>
      <c r="AN353" s="28">
        <v>0</v>
      </c>
      <c r="AO353" s="28">
        <v>0</v>
      </c>
      <c r="AP353" s="28">
        <v>0</v>
      </c>
      <c r="AQ353">
        <v>0</v>
      </c>
      <c r="AR353">
        <v>0</v>
      </c>
      <c r="AS353">
        <v>0</v>
      </c>
      <c r="AT353">
        <v>0</v>
      </c>
    </row>
    <row r="354" spans="1:46" ht="15.75" x14ac:dyDescent="0.25">
      <c r="A354" t="s">
        <v>949</v>
      </c>
      <c r="B354" t="s">
        <v>950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s="28">
        <v>0</v>
      </c>
      <c r="AJ354" s="28">
        <v>0</v>
      </c>
      <c r="AK354" s="28">
        <v>0</v>
      </c>
      <c r="AL354" s="28">
        <v>0</v>
      </c>
      <c r="AM354" s="28">
        <v>0</v>
      </c>
      <c r="AN354" s="28">
        <v>0</v>
      </c>
      <c r="AO354" s="28">
        <v>0</v>
      </c>
      <c r="AP354" s="28">
        <v>0</v>
      </c>
      <c r="AQ354">
        <v>0</v>
      </c>
      <c r="AR354">
        <v>0</v>
      </c>
      <c r="AS354">
        <v>0</v>
      </c>
      <c r="AT354">
        <v>0</v>
      </c>
    </row>
    <row r="355" spans="1:46" ht="15.75" x14ac:dyDescent="0.25">
      <c r="A355" t="s">
        <v>951</v>
      </c>
      <c r="B355" t="s">
        <v>952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s="28">
        <v>0</v>
      </c>
      <c r="AJ355" s="28">
        <v>0</v>
      </c>
      <c r="AK355" s="28">
        <v>0</v>
      </c>
      <c r="AL355" s="28">
        <v>0</v>
      </c>
      <c r="AM355" s="28">
        <v>0</v>
      </c>
      <c r="AN355" s="28">
        <v>0</v>
      </c>
      <c r="AO355" s="28">
        <v>0</v>
      </c>
      <c r="AP355" s="28">
        <v>0</v>
      </c>
      <c r="AQ355">
        <v>0</v>
      </c>
      <c r="AR355">
        <v>0</v>
      </c>
      <c r="AS355">
        <v>0</v>
      </c>
      <c r="AT355">
        <v>0</v>
      </c>
    </row>
    <row r="356" spans="1:46" ht="15.75" x14ac:dyDescent="0.25">
      <c r="A356" t="s">
        <v>953</v>
      </c>
      <c r="B356" t="s">
        <v>954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s="28">
        <v>0</v>
      </c>
      <c r="AJ356" s="28">
        <v>0</v>
      </c>
      <c r="AK356" s="28">
        <v>0</v>
      </c>
      <c r="AL356" s="28">
        <v>0</v>
      </c>
      <c r="AM356" s="28">
        <v>0</v>
      </c>
      <c r="AN356" s="28">
        <v>0</v>
      </c>
      <c r="AO356" s="28">
        <v>0</v>
      </c>
      <c r="AP356" s="28">
        <v>0</v>
      </c>
      <c r="AQ356">
        <v>0</v>
      </c>
      <c r="AR356">
        <v>0</v>
      </c>
      <c r="AS356">
        <v>0</v>
      </c>
      <c r="AT356">
        <v>0</v>
      </c>
    </row>
    <row r="357" spans="1:46" ht="15.75" x14ac:dyDescent="0.25">
      <c r="A357" t="s">
        <v>955</v>
      </c>
      <c r="B357" t="s">
        <v>956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s="28">
        <v>0</v>
      </c>
      <c r="AJ357" s="28">
        <v>0</v>
      </c>
      <c r="AK357" s="28">
        <v>0</v>
      </c>
      <c r="AL357" s="28">
        <v>0</v>
      </c>
      <c r="AM357" s="28">
        <v>0</v>
      </c>
      <c r="AN357" s="28">
        <v>0</v>
      </c>
      <c r="AO357" s="28">
        <v>0</v>
      </c>
      <c r="AP357" s="28">
        <v>0</v>
      </c>
      <c r="AQ357">
        <v>0</v>
      </c>
      <c r="AR357">
        <v>0</v>
      </c>
      <c r="AS357">
        <v>0</v>
      </c>
      <c r="AT357">
        <v>0</v>
      </c>
    </row>
    <row r="358" spans="1:46" ht="15.75" x14ac:dyDescent="0.25">
      <c r="A358" t="s">
        <v>957</v>
      </c>
      <c r="B358" t="s">
        <v>958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-1</v>
      </c>
      <c r="AI358" s="28">
        <v>0</v>
      </c>
      <c r="AJ358" s="28">
        <v>0</v>
      </c>
      <c r="AK358" s="28">
        <v>0</v>
      </c>
      <c r="AL358" s="28">
        <v>0</v>
      </c>
      <c r="AM358" s="28">
        <v>0</v>
      </c>
      <c r="AN358" s="28">
        <v>0</v>
      </c>
      <c r="AO358" s="28">
        <v>0</v>
      </c>
      <c r="AP358" s="28">
        <v>0</v>
      </c>
      <c r="AQ358">
        <v>0</v>
      </c>
      <c r="AR358">
        <v>0</v>
      </c>
      <c r="AS358">
        <v>0</v>
      </c>
      <c r="AT358">
        <v>0</v>
      </c>
    </row>
    <row r="359" spans="1:46" ht="15.75" x14ac:dyDescent="0.25">
      <c r="A359" t="s">
        <v>959</v>
      </c>
      <c r="B359" t="s">
        <v>960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4</v>
      </c>
      <c r="AI359" s="28">
        <v>0</v>
      </c>
      <c r="AJ359" s="28">
        <v>0</v>
      </c>
      <c r="AK359" s="28">
        <v>0</v>
      </c>
      <c r="AL359" s="28">
        <v>0</v>
      </c>
      <c r="AM359" s="28">
        <v>0</v>
      </c>
      <c r="AN359" s="28">
        <v>0</v>
      </c>
      <c r="AO359" s="28">
        <v>0</v>
      </c>
      <c r="AP359" s="28">
        <v>0</v>
      </c>
      <c r="AQ359">
        <v>0</v>
      </c>
      <c r="AR359">
        <v>0</v>
      </c>
      <c r="AS359">
        <v>0</v>
      </c>
      <c r="AT359">
        <v>0</v>
      </c>
    </row>
    <row r="360" spans="1:46" ht="15.75" x14ac:dyDescent="0.25">
      <c r="A360" t="s">
        <v>961</v>
      </c>
      <c r="B360" t="s">
        <v>962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s="28">
        <v>0</v>
      </c>
      <c r="AJ360" s="28">
        <v>0</v>
      </c>
      <c r="AK360" s="28">
        <v>0</v>
      </c>
      <c r="AL360" s="28">
        <v>0</v>
      </c>
      <c r="AM360" s="28">
        <v>0</v>
      </c>
      <c r="AN360" s="28">
        <v>0</v>
      </c>
      <c r="AO360" s="28">
        <v>0</v>
      </c>
      <c r="AP360" s="28">
        <v>0</v>
      </c>
      <c r="AQ360">
        <v>0</v>
      </c>
      <c r="AR360">
        <v>0</v>
      </c>
      <c r="AS360">
        <v>0</v>
      </c>
      <c r="AT360">
        <v>0</v>
      </c>
    </row>
    <row r="361" spans="1:46" ht="15.75" x14ac:dyDescent="0.25">
      <c r="A361" t="s">
        <v>963</v>
      </c>
      <c r="B361" t="s">
        <v>964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s="28">
        <v>0</v>
      </c>
      <c r="AJ361" s="28">
        <v>0</v>
      </c>
      <c r="AK361" s="28">
        <v>0</v>
      </c>
      <c r="AL361" s="28">
        <v>0</v>
      </c>
      <c r="AM361" s="28">
        <v>0</v>
      </c>
      <c r="AN361" s="28">
        <v>0</v>
      </c>
      <c r="AO361" s="28">
        <v>0</v>
      </c>
      <c r="AP361" s="28">
        <v>0</v>
      </c>
      <c r="AQ361">
        <v>0</v>
      </c>
      <c r="AR361">
        <v>0</v>
      </c>
      <c r="AS361">
        <v>0</v>
      </c>
      <c r="AT361">
        <v>0</v>
      </c>
    </row>
    <row r="362" spans="1:46" ht="15.75" x14ac:dyDescent="0.25">
      <c r="A362" t="s">
        <v>965</v>
      </c>
      <c r="B362" t="s">
        <v>966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 s="28">
        <v>0</v>
      </c>
      <c r="AJ362" s="28">
        <v>0</v>
      </c>
      <c r="AK362" s="28">
        <v>0</v>
      </c>
      <c r="AL362" s="28">
        <v>0</v>
      </c>
      <c r="AM362" s="28">
        <v>0</v>
      </c>
      <c r="AN362" s="28">
        <v>0</v>
      </c>
      <c r="AO362" s="28">
        <v>0</v>
      </c>
      <c r="AP362" s="28">
        <v>0</v>
      </c>
      <c r="AQ362">
        <v>0</v>
      </c>
      <c r="AR362">
        <v>0</v>
      </c>
      <c r="AS362">
        <v>0</v>
      </c>
      <c r="AT362">
        <v>0</v>
      </c>
    </row>
    <row r="363" spans="1:46" ht="15.75" x14ac:dyDescent="0.25">
      <c r="A363" t="s">
        <v>967</v>
      </c>
      <c r="B363" t="s">
        <v>968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s="28">
        <v>0</v>
      </c>
      <c r="AJ363" s="28">
        <v>0</v>
      </c>
      <c r="AK363" s="28">
        <v>0</v>
      </c>
      <c r="AL363" s="28">
        <v>0</v>
      </c>
      <c r="AM363" s="28">
        <v>0</v>
      </c>
      <c r="AN363" s="28">
        <v>0</v>
      </c>
      <c r="AO363" s="28">
        <v>0</v>
      </c>
      <c r="AP363" s="28">
        <v>0</v>
      </c>
      <c r="AQ363">
        <v>0</v>
      </c>
      <c r="AR363">
        <v>0</v>
      </c>
      <c r="AS363">
        <v>0</v>
      </c>
      <c r="AT363">
        <v>0</v>
      </c>
    </row>
    <row r="364" spans="1:46" ht="15.75" x14ac:dyDescent="0.25">
      <c r="A364" t="s">
        <v>969</v>
      </c>
      <c r="B364" t="s">
        <v>970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 s="28">
        <v>0</v>
      </c>
      <c r="AJ364" s="28">
        <v>0</v>
      </c>
      <c r="AK364" s="28">
        <v>0</v>
      </c>
      <c r="AL364" s="28">
        <v>0</v>
      </c>
      <c r="AM364" s="28">
        <v>0</v>
      </c>
      <c r="AN364" s="28">
        <v>0</v>
      </c>
      <c r="AO364" s="28">
        <v>0</v>
      </c>
      <c r="AP364" s="28">
        <v>0</v>
      </c>
      <c r="AQ364">
        <v>0</v>
      </c>
      <c r="AR364">
        <v>0</v>
      </c>
      <c r="AS364">
        <v>0</v>
      </c>
      <c r="AT364">
        <v>0</v>
      </c>
    </row>
    <row r="365" spans="1:46" ht="15.75" x14ac:dyDescent="0.25">
      <c r="A365" t="s">
        <v>971</v>
      </c>
      <c r="B365" t="s">
        <v>972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s="28">
        <v>0</v>
      </c>
      <c r="AJ365" s="28">
        <v>0</v>
      </c>
      <c r="AK365" s="28">
        <v>0</v>
      </c>
      <c r="AL365" s="28">
        <v>0</v>
      </c>
      <c r="AM365" s="28">
        <v>0</v>
      </c>
      <c r="AN365" s="28">
        <v>0</v>
      </c>
      <c r="AO365" s="28">
        <v>0</v>
      </c>
      <c r="AP365" s="28">
        <v>0</v>
      </c>
      <c r="AQ365">
        <v>0</v>
      </c>
      <c r="AR365">
        <v>0</v>
      </c>
      <c r="AS365">
        <v>0</v>
      </c>
      <c r="AT365">
        <v>0</v>
      </c>
    </row>
    <row r="366" spans="1:46" ht="15.75" x14ac:dyDescent="0.25">
      <c r="A366" t="s">
        <v>973</v>
      </c>
      <c r="B366" t="s">
        <v>974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s="28">
        <v>0</v>
      </c>
      <c r="AJ366" s="28">
        <v>0</v>
      </c>
      <c r="AK366" s="28">
        <v>0</v>
      </c>
      <c r="AL366" s="28">
        <v>0</v>
      </c>
      <c r="AM366" s="28">
        <v>0</v>
      </c>
      <c r="AN366" s="28">
        <v>0</v>
      </c>
      <c r="AO366" s="28">
        <v>0</v>
      </c>
      <c r="AP366" s="28">
        <v>0</v>
      </c>
      <c r="AQ366">
        <v>0</v>
      </c>
      <c r="AR366">
        <v>0</v>
      </c>
      <c r="AS366">
        <v>0</v>
      </c>
      <c r="AT366">
        <v>0</v>
      </c>
    </row>
    <row r="367" spans="1:46" ht="15.75" x14ac:dyDescent="0.25">
      <c r="A367" t="s">
        <v>975</v>
      </c>
      <c r="B367" t="s">
        <v>976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s="28">
        <v>0</v>
      </c>
      <c r="AJ367" s="28">
        <v>0</v>
      </c>
      <c r="AK367" s="28">
        <v>0</v>
      </c>
      <c r="AL367" s="28">
        <v>0</v>
      </c>
      <c r="AM367" s="28">
        <v>0</v>
      </c>
      <c r="AN367" s="28">
        <v>0</v>
      </c>
      <c r="AO367" s="28">
        <v>0</v>
      </c>
      <c r="AP367" s="28">
        <v>0</v>
      </c>
      <c r="AQ367">
        <v>0</v>
      </c>
      <c r="AR367">
        <v>0</v>
      </c>
      <c r="AS367">
        <v>0</v>
      </c>
      <c r="AT367">
        <v>0</v>
      </c>
    </row>
    <row r="368" spans="1:46" ht="15.75" x14ac:dyDescent="0.25">
      <c r="A368" t="s">
        <v>977</v>
      </c>
      <c r="B368" t="s">
        <v>978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s="28">
        <v>0</v>
      </c>
      <c r="AJ368" s="28">
        <v>0</v>
      </c>
      <c r="AK368" s="28">
        <v>0</v>
      </c>
      <c r="AL368" s="28">
        <v>0</v>
      </c>
      <c r="AM368" s="28">
        <v>0</v>
      </c>
      <c r="AN368" s="28">
        <v>0</v>
      </c>
      <c r="AO368" s="28">
        <v>0</v>
      </c>
      <c r="AP368" s="28">
        <v>0</v>
      </c>
      <c r="AQ368">
        <v>0</v>
      </c>
      <c r="AR368">
        <v>0</v>
      </c>
      <c r="AS368">
        <v>0</v>
      </c>
      <c r="AT368">
        <v>0</v>
      </c>
    </row>
    <row r="369" spans="1:46" ht="15.75" x14ac:dyDescent="0.25">
      <c r="A369" t="s">
        <v>979</v>
      </c>
      <c r="B369" t="s">
        <v>980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s="28">
        <v>0</v>
      </c>
      <c r="AJ369" s="28">
        <v>0</v>
      </c>
      <c r="AK369" s="28">
        <v>0</v>
      </c>
      <c r="AL369" s="28">
        <v>0</v>
      </c>
      <c r="AM369" s="28">
        <v>0</v>
      </c>
      <c r="AN369" s="28">
        <v>0</v>
      </c>
      <c r="AO369" s="28">
        <v>0</v>
      </c>
      <c r="AP369" s="28">
        <v>0</v>
      </c>
      <c r="AQ369">
        <v>0</v>
      </c>
      <c r="AR369">
        <v>0</v>
      </c>
      <c r="AS369">
        <v>0</v>
      </c>
      <c r="AT369">
        <v>0</v>
      </c>
    </row>
    <row r="370" spans="1:46" ht="15.75" x14ac:dyDescent="0.25">
      <c r="A370" t="s">
        <v>981</v>
      </c>
      <c r="B370" t="s">
        <v>982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-1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s="28">
        <v>0</v>
      </c>
      <c r="AJ370" s="28">
        <v>0</v>
      </c>
      <c r="AK370" s="28">
        <v>0</v>
      </c>
      <c r="AL370" s="28">
        <v>0</v>
      </c>
      <c r="AM370" s="28">
        <v>0</v>
      </c>
      <c r="AN370" s="28">
        <v>0</v>
      </c>
      <c r="AO370" s="28">
        <v>0</v>
      </c>
      <c r="AP370" s="28">
        <v>0</v>
      </c>
      <c r="AQ370">
        <v>0</v>
      </c>
      <c r="AR370">
        <v>0</v>
      </c>
      <c r="AS370">
        <v>0</v>
      </c>
      <c r="AT370">
        <v>0</v>
      </c>
    </row>
    <row r="371" spans="1:46" ht="15.75" x14ac:dyDescent="0.25">
      <c r="A371" t="s">
        <v>983</v>
      </c>
      <c r="B371" t="s">
        <v>984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s="28">
        <v>0</v>
      </c>
      <c r="AJ371" s="28">
        <v>0</v>
      </c>
      <c r="AK371" s="28">
        <v>0</v>
      </c>
      <c r="AL371" s="28">
        <v>0</v>
      </c>
      <c r="AM371" s="28">
        <v>0</v>
      </c>
      <c r="AN371" s="28">
        <v>0</v>
      </c>
      <c r="AO371" s="28">
        <v>0</v>
      </c>
      <c r="AP371" s="28">
        <v>0</v>
      </c>
      <c r="AQ371">
        <v>0</v>
      </c>
      <c r="AR371">
        <v>0</v>
      </c>
      <c r="AS371">
        <v>0</v>
      </c>
      <c r="AT371">
        <v>0</v>
      </c>
    </row>
    <row r="372" spans="1:46" ht="15.75" x14ac:dyDescent="0.25">
      <c r="A372" t="s">
        <v>985</v>
      </c>
      <c r="B372" t="s">
        <v>986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s="28">
        <v>0</v>
      </c>
      <c r="AJ372" s="28">
        <v>0</v>
      </c>
      <c r="AK372" s="28">
        <v>0</v>
      </c>
      <c r="AL372" s="28">
        <v>0</v>
      </c>
      <c r="AM372" s="28">
        <v>0</v>
      </c>
      <c r="AN372" s="28">
        <v>0</v>
      </c>
      <c r="AO372" s="28">
        <v>0</v>
      </c>
      <c r="AP372" s="28">
        <v>0</v>
      </c>
      <c r="AQ372">
        <v>0</v>
      </c>
      <c r="AR372">
        <v>0</v>
      </c>
      <c r="AS372">
        <v>0</v>
      </c>
      <c r="AT372">
        <v>0</v>
      </c>
    </row>
    <row r="373" spans="1:46" ht="15.75" x14ac:dyDescent="0.25">
      <c r="A373" t="s">
        <v>987</v>
      </c>
      <c r="B373" t="s">
        <v>988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-1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s="28">
        <v>0</v>
      </c>
      <c r="AJ373" s="28">
        <v>0</v>
      </c>
      <c r="AK373" s="28">
        <v>0</v>
      </c>
      <c r="AL373" s="28">
        <v>0</v>
      </c>
      <c r="AM373" s="28">
        <v>0</v>
      </c>
      <c r="AN373" s="28">
        <v>0</v>
      </c>
      <c r="AO373" s="28">
        <v>0</v>
      </c>
      <c r="AP373" s="28">
        <v>0</v>
      </c>
      <c r="AQ373">
        <v>0</v>
      </c>
      <c r="AR373">
        <v>0</v>
      </c>
      <c r="AS373">
        <v>0</v>
      </c>
      <c r="AT373">
        <v>0</v>
      </c>
    </row>
    <row r="374" spans="1:46" ht="15.75" x14ac:dyDescent="0.25">
      <c r="A374" t="s">
        <v>989</v>
      </c>
      <c r="B374" t="s">
        <v>990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s="28">
        <v>0</v>
      </c>
      <c r="AJ374" s="28">
        <v>0</v>
      </c>
      <c r="AK374" s="28">
        <v>0</v>
      </c>
      <c r="AL374" s="28">
        <v>0</v>
      </c>
      <c r="AM374" s="28">
        <v>0</v>
      </c>
      <c r="AN374" s="28">
        <v>0</v>
      </c>
      <c r="AO374" s="28">
        <v>0</v>
      </c>
      <c r="AP374" s="28">
        <v>0</v>
      </c>
      <c r="AQ374">
        <v>0</v>
      </c>
      <c r="AR374">
        <v>0</v>
      </c>
      <c r="AS374">
        <v>0</v>
      </c>
      <c r="AT374">
        <v>0</v>
      </c>
    </row>
    <row r="375" spans="1:46" ht="15.75" x14ac:dyDescent="0.25">
      <c r="A375" t="s">
        <v>991</v>
      </c>
      <c r="B375" t="s">
        <v>992</v>
      </c>
      <c r="C375">
        <v>0</v>
      </c>
      <c r="D375">
        <v>0</v>
      </c>
      <c r="E375">
        <v>-1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s="28">
        <v>0</v>
      </c>
      <c r="AJ375" s="28">
        <v>0</v>
      </c>
      <c r="AK375" s="28">
        <v>0</v>
      </c>
      <c r="AL375" s="28">
        <v>0</v>
      </c>
      <c r="AM375" s="28">
        <v>0</v>
      </c>
      <c r="AN375" s="28">
        <v>0</v>
      </c>
      <c r="AO375" s="28">
        <v>0</v>
      </c>
      <c r="AP375" s="28">
        <v>0</v>
      </c>
      <c r="AQ375">
        <v>0</v>
      </c>
      <c r="AR375">
        <v>0</v>
      </c>
      <c r="AS375">
        <v>0</v>
      </c>
      <c r="AT375">
        <v>0</v>
      </c>
    </row>
    <row r="376" spans="1:46" ht="15.75" x14ac:dyDescent="0.25">
      <c r="A376" t="s">
        <v>993</v>
      </c>
      <c r="B376" t="s">
        <v>994</v>
      </c>
      <c r="C376">
        <v>0</v>
      </c>
      <c r="D376">
        <v>-1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s="28">
        <v>0</v>
      </c>
      <c r="AJ376" s="28">
        <v>0</v>
      </c>
      <c r="AK376" s="28">
        <v>0</v>
      </c>
      <c r="AL376" s="28">
        <v>0</v>
      </c>
      <c r="AM376" s="28">
        <v>0</v>
      </c>
      <c r="AN376" s="28">
        <v>0</v>
      </c>
      <c r="AO376" s="28">
        <v>0</v>
      </c>
      <c r="AP376" s="28">
        <v>0</v>
      </c>
      <c r="AQ376">
        <v>0</v>
      </c>
      <c r="AR376">
        <v>0</v>
      </c>
      <c r="AS376">
        <v>0</v>
      </c>
      <c r="AT376">
        <v>0</v>
      </c>
    </row>
    <row r="377" spans="1:46" ht="15.75" x14ac:dyDescent="0.25">
      <c r="A377" t="s">
        <v>995</v>
      </c>
      <c r="B377" t="s">
        <v>996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s="28">
        <v>0</v>
      </c>
      <c r="AJ377" s="28">
        <v>0</v>
      </c>
      <c r="AK377" s="28">
        <v>0</v>
      </c>
      <c r="AL377" s="28">
        <v>0</v>
      </c>
      <c r="AM377" s="28">
        <v>0</v>
      </c>
      <c r="AN377" s="28">
        <v>0</v>
      </c>
      <c r="AO377" s="28">
        <v>0</v>
      </c>
      <c r="AP377" s="28">
        <v>0</v>
      </c>
      <c r="AQ377">
        <v>0</v>
      </c>
      <c r="AR377">
        <v>0</v>
      </c>
      <c r="AS377">
        <v>0</v>
      </c>
      <c r="AT377">
        <v>0</v>
      </c>
    </row>
    <row r="378" spans="1:46" ht="15.75" x14ac:dyDescent="0.25">
      <c r="A378" t="s">
        <v>997</v>
      </c>
      <c r="B378" t="s">
        <v>998</v>
      </c>
      <c r="C378">
        <v>1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s="28">
        <v>0</v>
      </c>
      <c r="AJ378" s="28">
        <v>0</v>
      </c>
      <c r="AK378" s="28">
        <v>0</v>
      </c>
      <c r="AL378" s="28">
        <v>0</v>
      </c>
      <c r="AM378" s="28">
        <v>0</v>
      </c>
      <c r="AN378" s="28">
        <v>0</v>
      </c>
      <c r="AO378" s="28">
        <v>0</v>
      </c>
      <c r="AP378" s="28">
        <v>0</v>
      </c>
      <c r="AQ378">
        <v>0</v>
      </c>
      <c r="AR378">
        <v>0</v>
      </c>
      <c r="AS378">
        <v>0</v>
      </c>
      <c r="AT378">
        <v>0</v>
      </c>
    </row>
  </sheetData>
  <mergeCells count="11">
    <mergeCell ref="AA1:AD1"/>
    <mergeCell ref="AE1:AH1"/>
    <mergeCell ref="AI1:AL1"/>
    <mergeCell ref="AM1:AP1"/>
    <mergeCell ref="AQ1:AT1"/>
    <mergeCell ref="C1:F1"/>
    <mergeCell ref="G1:J1"/>
    <mergeCell ref="K1:N1"/>
    <mergeCell ref="O1:R1"/>
    <mergeCell ref="S1:V1"/>
    <mergeCell ref="W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exixtsnecia por 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sebastian vazquez</dc:creator>
  <cp:lastModifiedBy>mateo sebastian vazquez</cp:lastModifiedBy>
  <dcterms:created xsi:type="dcterms:W3CDTF">2026-07-08T19:25:58Z</dcterms:created>
  <dcterms:modified xsi:type="dcterms:W3CDTF">2026-07-08T19:35:26Z</dcterms:modified>
</cp:coreProperties>
</file>